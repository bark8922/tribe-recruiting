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decision" sheetId="1" state="visible" r:id="rId3"/>
    <sheet name="Subcategory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<sst xmlns="http://schemas.openxmlformats.org/spreadsheetml/2006/main" count="192" uniqueCount="93">
  <si>
    <t xml:space="preserve">Tech Role definition - review list</t>
  </si>
  <si>
    <t xml:space="preserve">Every hired job in the Time to Hire tab carries one job_category from Bubble. The dashboard's Tech Role = Yes/No filter is driven entirely by that field. Please mark column D for each category. Edit the YELLOW cells only.</t>
  </si>
  <si>
    <t xml:space="preserve">CURRENT BUG: the flag is tested against nine legacy Power BI labels (Data Analytics, DevOps, Software Engineering, Software, Design, Product Manager, Information Technology, Quality Assurance (QA), Engineering Management). Only 'Design' exists as a job_category in Bubble - the other eight are SUBCATEGORY-level labels or pre-migration names. So today 46 of 2,281 hired jobs are flagged Tech, all of them Design. Every Backend Engineer, DevOps, Data Analyst and PM reads as Non-Tech.</t>
  </si>
  <si>
    <t xml:space="preserve">job_category (as stored in Bubble)</t>
  </si>
  <si>
    <t xml:space="preserve">Jobs (all time)</t>
  </si>
  <si>
    <t xml:space="preserve">Hired jobs (in TTH tab)</t>
  </si>
  <si>
    <t xml:space="preserve">Tech Role?  &lt;- MARK HERE</t>
  </si>
  <si>
    <t xml:space="preserve">Flagged Tech today</t>
  </si>
  <si>
    <t xml:space="preserve">Blake's proposal</t>
  </si>
  <si>
    <t xml:space="preserve">First job</t>
  </si>
  <si>
    <t xml:space="preserve">Notes</t>
  </si>
  <si>
    <t xml:space="preserve">Engineering</t>
  </si>
  <si>
    <t xml:space="preserve">Yes</t>
  </si>
  <si>
    <t xml:space="preserve">2020</t>
  </si>
  <si>
    <t xml:space="preserve">Backend 329, Frontend 90, Full Stack 72, Mobile 66, ML 26, Security 25</t>
  </si>
  <si>
    <t xml:space="preserve">Engineering (DevOps / SRE)</t>
  </si>
  <si>
    <t xml:space="preserve">2021</t>
  </si>
  <si>
    <t xml:space="preserve">DevOps 47, SRE 6</t>
  </si>
  <si>
    <t xml:space="preserve">Engineering (Engineering Management)</t>
  </si>
  <si>
    <t xml:space="preserve">Eng managers across Applications, Data Infra, Mobile, QA</t>
  </si>
  <si>
    <t xml:space="preserve">Engineering (Automation / Manual QA)</t>
  </si>
  <si>
    <t xml:space="preserve">QA Test Automation 26, QA Manual 18</t>
  </si>
  <si>
    <t xml:space="preserve">Data &amp; Analytics</t>
  </si>
  <si>
    <t xml:space="preserve">Data Analyst 55, Data Scientist 45, Business Analyst 20, Business Ops 11 - see note</t>
  </si>
  <si>
    <t xml:space="preserve">Product Management</t>
  </si>
  <si>
    <t xml:space="preserve">Product Manager 168. Legacy DAX did count 'Product Manager' as Tech</t>
  </si>
  <si>
    <t xml:space="preserve">IT &amp; Technical Support</t>
  </si>
  <si>
    <t xml:space="preserve">Tech Support Eng 29, Solutions Architect 14, Sys Admin 10, Desktop Support 3 - see note</t>
  </si>
  <si>
    <t xml:space="preserve">Design</t>
  </si>
  <si>
    <t xml:space="preserve">Only category flagged Tech today. Incl. Brand/Graphic Designer 10 - see note</t>
  </si>
  <si>
    <t xml:space="preserve">Operations (Program / Project Management)</t>
  </si>
  <si>
    <t xml:space="preserve">SPLIT</t>
  </si>
  <si>
    <t xml:space="preserve">Split</t>
  </si>
  <si>
    <t xml:space="preserve">Split by subcategory: IT Project Manager 9 + Technical Program Manager 5 = Yes; Project Manager 39 / Program Manager 3 / blank 12 = No</t>
  </si>
  <si>
    <t xml:space="preserve">Other</t>
  </si>
  <si>
    <t xml:space="preserve">2023</t>
  </si>
  <si>
    <t xml:space="preserve">Subcategory is literally 'Tech' (39 jobs) or 'Non-Tech' (525). Recommend honouring it</t>
  </si>
  <si>
    <t xml:space="preserve">Sales</t>
  </si>
  <si>
    <t xml:space="preserve">No</t>
  </si>
  <si>
    <t xml:space="preserve">Operations</t>
  </si>
  <si>
    <t xml:space="preserve">People &amp; Talent (HR)</t>
  </si>
  <si>
    <t xml:space="preserve">Marketing</t>
  </si>
  <si>
    <t xml:space="preserve">Finance &amp; Accounting</t>
  </si>
  <si>
    <t xml:space="preserve">Legal, Risk &amp; Compliance</t>
  </si>
  <si>
    <t xml:space="preserve">Customer Support &amp; Trust/Safety</t>
  </si>
  <si>
    <t xml:space="preserve">2026</t>
  </si>
  <si>
    <t xml:space="preserve">New category, first job 13 Aug 2026</t>
  </si>
  <si>
    <t xml:space="preserve">(blank / not set)</t>
  </si>
  <si>
    <t xml:space="preserve">-</t>
  </si>
  <si>
    <t xml:space="preserve">No category on the job record. None have a first-hire date, so none reach the TTH tab</t>
  </si>
  <si>
    <t xml:space="preserve">TOTAL</t>
  </si>
  <si>
    <t xml:space="preserve">Impact if the proposal in column F is adopted</t>
  </si>
  <si>
    <t xml:space="preserve">Hired jobs flagged Tech goes from 46 to 348 (of 2,281).</t>
  </si>
  <si>
    <t xml:space="preserve">Parloa goes from 0 tech roles to 8 (of 11 hired jobs): avg Time to Hire 65 days, avg Time to Fill 88 days.</t>
  </si>
  <si>
    <t xml:space="preserve">This will NOT match the old Power BI '# Tech Roles Hired' figure. That measure was reading the same broken list, so the PBI number was understated too.</t>
  </si>
  <si>
    <t xml:space="preserve">Open questions for Martin:</t>
  </si>
  <si>
    <t xml:space="preserve">  1. Data &amp; Analytics - do Business Analyst (20) and Business Operations (11) count as Tech, or only Data Analyst / Data Scientist?</t>
  </si>
  <si>
    <t xml:space="preserve">  2. IT &amp; Technical Support - is Desktop Support / Systems Admin Tech, or only Solutions Architect and Technical Support Engineer?</t>
  </si>
  <si>
    <t xml:space="preserve">  3. Design - is Brand/Graphic Designer (10) Tech? Product/UX Design clearly is.</t>
  </si>
  <si>
    <t xml:space="preserve">  4. Product Management - Tech or its own bucket?</t>
  </si>
  <si>
    <t xml:space="preserve">  5. Should the split rules on Operations (Program / PM) and Other be applied, or keep it category-only for simplicity?</t>
  </si>
  <si>
    <t xml:space="preserve">Subcategory breakdown for the categories needing a judgement call</t>
  </si>
  <si>
    <t xml:space="preserve">job_category</t>
  </si>
  <si>
    <t xml:space="preserve">job_subcategory</t>
  </si>
  <si>
    <t xml:space="preserve">Project Manager</t>
  </si>
  <si>
    <t xml:space="preserve">IT Project Manager</t>
  </si>
  <si>
    <t xml:space="preserve">Technical Program Manager</t>
  </si>
  <si>
    <t xml:space="preserve">Program Manager</t>
  </si>
  <si>
    <t xml:space="preserve">(blank / Not apply)</t>
  </si>
  <si>
    <t xml:space="preserve">Tech</t>
  </si>
  <si>
    <t xml:space="preserve">Non-Tech</t>
  </si>
  <si>
    <t xml:space="preserve">Data Analyst</t>
  </si>
  <si>
    <t xml:space="preserve">Data Scientist</t>
  </si>
  <si>
    <t xml:space="preserve">Business Analyst</t>
  </si>
  <si>
    <t xml:space="preserve">Business Operations</t>
  </si>
  <si>
    <t xml:space="preserve">Technical Support Engineer</t>
  </si>
  <si>
    <t xml:space="preserve">Solutions Architect</t>
  </si>
  <si>
    <t xml:space="preserve">Business Systems</t>
  </si>
  <si>
    <t xml:space="preserve">Systems Admin</t>
  </si>
  <si>
    <t xml:space="preserve">Database Administrator</t>
  </si>
  <si>
    <t xml:space="preserve">Salesforce Developer</t>
  </si>
  <si>
    <t xml:space="preserve">Desktop Support</t>
  </si>
  <si>
    <t xml:space="preserve">Network / Network Administrator</t>
  </si>
  <si>
    <t xml:space="preserve">Solutions</t>
  </si>
  <si>
    <t xml:space="preserve">Product Designer</t>
  </si>
  <si>
    <t xml:space="preserve">Visual/UI Designer</t>
  </si>
  <si>
    <t xml:space="preserve">UX Designer</t>
  </si>
  <si>
    <t xml:space="preserve">UX Researcher</t>
  </si>
  <si>
    <t xml:space="preserve">UX Analyst</t>
  </si>
  <si>
    <t xml:space="preserve">UX Copywriter</t>
  </si>
  <si>
    <t xml:space="preserve">Brand/Graphic Designer</t>
  </si>
  <si>
    <t xml:space="preserve">Product Manager</t>
  </si>
  <si>
    <t xml:space="preserve">Pre-filled Yes = Blake's proposal. Blank = needs a call from Martin.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</si>
</sst>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5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customFormat="false" ht="15" hidden="false" customHeight="false" outlineLevel="0" collapsed="false">
      <c r="A7" s="5" t="s">
        <v>11</v>
      </c>
      <c r="B7" s="5" t="n">
        <v>723</v>
      </c>
      <c r="C7" s="5" t="n">
        <v>164</v>
      </c>
      <c r="D7" s="6" t="s">
        <v>12</v>
      </c>
      <c r="E7" s="5" t="n">
        <v>0</v>
      </c>
      <c r="F7" s="5" t="s">
        <v>12</v>
      </c>
      <c r="G7" s="5" t="s">
        <v>13</v>
      </c>
      <c r="H7" s="7" t="s">
        <v>14</v>
      </c>
    </row>
    <row r="8" customFormat="false" ht="15" hidden="false" customHeight="false" outlineLevel="0" collapsed="false">
      <c r="A8" s="5" t="s">
        <v>15</v>
      </c>
      <c r="B8" s="5" t="n">
        <v>61</v>
      </c>
      <c r="C8" s="5" t="n">
        <v>12</v>
      </c>
      <c r="D8" s="6" t="s">
        <v>12</v>
      </c>
      <c r="E8" s="5" t="n">
        <v>0</v>
      </c>
      <c r="F8" s="5" t="s">
        <v>12</v>
      </c>
      <c r="G8" s="5" t="s">
        <v>16</v>
      </c>
      <c r="H8" s="7" t="s">
        <v>17</v>
      </c>
    </row>
    <row r="9" customFormat="false" ht="15" hidden="false" customHeight="false" outlineLevel="0" collapsed="false">
      <c r="A9" s="5" t="s">
        <v>18</v>
      </c>
      <c r="B9" s="5" t="n">
        <v>97</v>
      </c>
      <c r="C9" s="5" t="n">
        <v>14</v>
      </c>
      <c r="D9" s="6" t="s">
        <v>12</v>
      </c>
      <c r="E9" s="5" t="n">
        <v>0</v>
      </c>
      <c r="F9" s="5" t="s">
        <v>12</v>
      </c>
      <c r="G9" s="5" t="s">
        <v>16</v>
      </c>
      <c r="H9" s="7" t="s">
        <v>19</v>
      </c>
    </row>
    <row r="10" customFormat="false" ht="15" hidden="false" customHeight="false" outlineLevel="0" collapsed="false">
      <c r="A10" s="5" t="s">
        <v>20</v>
      </c>
      <c r="B10" s="5" t="n">
        <v>61</v>
      </c>
      <c r="C10" s="5" t="n">
        <v>13</v>
      </c>
      <c r="D10" s="6" t="s">
        <v>12</v>
      </c>
      <c r="E10" s="5" t="n">
        <v>0</v>
      </c>
      <c r="F10" s="5" t="s">
        <v>12</v>
      </c>
      <c r="G10" s="5" t="s">
        <v>16</v>
      </c>
      <c r="H10" s="7" t="s">
        <v>21</v>
      </c>
    </row>
    <row r="11" customFormat="false" ht="23.85" hidden="false" customHeight="false" outlineLevel="0" collapsed="false">
      <c r="A11" s="5" t="s">
        <v>22</v>
      </c>
      <c r="B11" s="5" t="n">
        <v>141</v>
      </c>
      <c r="C11" s="5" t="n">
        <v>31</v>
      </c>
      <c r="D11" s="6" t="s">
        <v>12</v>
      </c>
      <c r="E11" s="5" t="n">
        <v>0</v>
      </c>
      <c r="F11" s="5" t="s">
        <v>12</v>
      </c>
      <c r="G11" s="5" t="s">
        <v>16</v>
      </c>
      <c r="H11" s="7" t="s">
        <v>23</v>
      </c>
    </row>
    <row r="12" customFormat="false" ht="15" hidden="false" customHeight="false" outlineLevel="0" collapsed="false">
      <c r="A12" s="5" t="s">
        <v>24</v>
      </c>
      <c r="B12" s="5" t="n">
        <v>189</v>
      </c>
      <c r="C12" s="5" t="n">
        <v>31</v>
      </c>
      <c r="D12" s="6" t="s">
        <v>12</v>
      </c>
      <c r="E12" s="5" t="n">
        <v>0</v>
      </c>
      <c r="F12" s="5" t="s">
        <v>12</v>
      </c>
      <c r="G12" s="5" t="s">
        <v>16</v>
      </c>
      <c r="H12" s="7" t="s">
        <v>25</v>
      </c>
    </row>
    <row r="13" customFormat="false" ht="23.85" hidden="false" customHeight="false" outlineLevel="0" collapsed="false">
      <c r="A13" s="5" t="s">
        <v>26</v>
      </c>
      <c r="B13" s="5" t="n">
        <v>115</v>
      </c>
      <c r="C13" s="5" t="n">
        <v>32</v>
      </c>
      <c r="D13" s="6" t="s">
        <v>12</v>
      </c>
      <c r="E13" s="5" t="n">
        <v>0</v>
      </c>
      <c r="F13" s="5" t="s">
        <v>12</v>
      </c>
      <c r="G13" s="5" t="s">
        <v>16</v>
      </c>
      <c r="H13" s="7" t="s">
        <v>27</v>
      </c>
    </row>
    <row r="14" customFormat="false" ht="23.85" hidden="false" customHeight="false" outlineLevel="0" collapsed="false">
      <c r="A14" s="5" t="s">
        <v>28</v>
      </c>
      <c r="B14" s="5" t="n">
        <v>143</v>
      </c>
      <c r="C14" s="5" t="n">
        <v>46</v>
      </c>
      <c r="D14" s="6" t="s">
        <v>12</v>
      </c>
      <c r="E14" s="5" t="n">
        <v>46</v>
      </c>
      <c r="F14" s="5" t="s">
        <v>12</v>
      </c>
      <c r="G14" s="5" t="s">
        <v>16</v>
      </c>
      <c r="H14" s="7" t="s">
        <v>29</v>
      </c>
    </row>
    <row r="15" customFormat="false" ht="23.85" hidden="false" customHeight="false" outlineLevel="0" collapsed="false">
      <c r="A15" s="8" t="s">
        <v>30</v>
      </c>
      <c r="B15" s="5" t="n">
        <v>68</v>
      </c>
      <c r="C15" s="5" t="n">
        <v>17</v>
      </c>
      <c r="D15" s="6" t="s">
        <v>31</v>
      </c>
      <c r="E15" s="5" t="n">
        <v>0</v>
      </c>
      <c r="F15" s="5" t="s">
        <v>32</v>
      </c>
      <c r="G15" s="5" t="s">
        <v>16</v>
      </c>
      <c r="H15" s="7" t="s">
        <v>33</v>
      </c>
    </row>
    <row r="16" customFormat="false" ht="23.85" hidden="false" customHeight="false" outlineLevel="0" collapsed="false">
      <c r="A16" s="8" t="s">
        <v>34</v>
      </c>
      <c r="B16" s="5" t="n">
        <v>564</v>
      </c>
      <c r="C16" s="5" t="n">
        <v>354</v>
      </c>
      <c r="D16" s="6" t="s">
        <v>31</v>
      </c>
      <c r="E16" s="5" t="n">
        <v>0</v>
      </c>
      <c r="F16" s="5" t="s">
        <v>32</v>
      </c>
      <c r="G16" s="5" t="s">
        <v>35</v>
      </c>
      <c r="H16" s="7" t="s">
        <v>36</v>
      </c>
    </row>
    <row r="17" customFormat="false" ht="15" hidden="false" customHeight="false" outlineLevel="0" collapsed="false">
      <c r="A17" s="5" t="s">
        <v>37</v>
      </c>
      <c r="B17" s="5" t="n">
        <v>2062</v>
      </c>
      <c r="C17" s="5" t="n">
        <v>775</v>
      </c>
      <c r="D17" s="6" t="s">
        <v>38</v>
      </c>
      <c r="E17" s="5" t="n">
        <v>0</v>
      </c>
      <c r="F17" s="5" t="s">
        <v>38</v>
      </c>
      <c r="G17" s="5" t="s">
        <v>13</v>
      </c>
      <c r="H17" s="7"/>
    </row>
    <row r="18" customFormat="false" ht="15" hidden="false" customHeight="false" outlineLevel="0" collapsed="false">
      <c r="A18" s="5" t="s">
        <v>39</v>
      </c>
      <c r="B18" s="5" t="n">
        <v>946</v>
      </c>
      <c r="C18" s="5" t="n">
        <v>442</v>
      </c>
      <c r="D18" s="6" t="s">
        <v>38</v>
      </c>
      <c r="E18" s="5" t="n">
        <v>0</v>
      </c>
      <c r="F18" s="5" t="s">
        <v>38</v>
      </c>
      <c r="G18" s="5" t="s">
        <v>16</v>
      </c>
      <c r="H18" s="7"/>
    </row>
    <row r="19" customFormat="false" ht="15" hidden="false" customHeight="false" outlineLevel="0" collapsed="false">
      <c r="A19" s="5" t="s">
        <v>40</v>
      </c>
      <c r="B19" s="5" t="n">
        <v>437</v>
      </c>
      <c r="C19" s="5" t="n">
        <v>72</v>
      </c>
      <c r="D19" s="6" t="s">
        <v>38</v>
      </c>
      <c r="E19" s="5" t="n">
        <v>0</v>
      </c>
      <c r="F19" s="5" t="s">
        <v>38</v>
      </c>
      <c r="G19" s="5" t="s">
        <v>13</v>
      </c>
      <c r="H19" s="7"/>
    </row>
    <row r="20" customFormat="false" ht="15" hidden="false" customHeight="false" outlineLevel="0" collapsed="false">
      <c r="A20" s="5" t="s">
        <v>41</v>
      </c>
      <c r="B20" s="5" t="n">
        <v>415</v>
      </c>
      <c r="C20" s="5" t="n">
        <v>170</v>
      </c>
      <c r="D20" s="6" t="s">
        <v>38</v>
      </c>
      <c r="E20" s="5" t="n">
        <v>0</v>
      </c>
      <c r="F20" s="5" t="s">
        <v>38</v>
      </c>
      <c r="G20" s="5" t="s">
        <v>16</v>
      </c>
      <c r="H20" s="7"/>
    </row>
    <row r="21" customFormat="false" ht="15" hidden="false" customHeight="false" outlineLevel="0" collapsed="false">
      <c r="A21" s="5" t="s">
        <v>42</v>
      </c>
      <c r="B21" s="5" t="n">
        <v>232</v>
      </c>
      <c r="C21" s="5" t="n">
        <v>103</v>
      </c>
      <c r="D21" s="6" t="s">
        <v>38</v>
      </c>
      <c r="E21" s="5" t="n">
        <v>0</v>
      </c>
      <c r="F21" s="5" t="s">
        <v>38</v>
      </c>
      <c r="G21" s="5" t="s">
        <v>16</v>
      </c>
      <c r="H21" s="7"/>
    </row>
    <row r="22" customFormat="false" ht="15" hidden="false" customHeight="false" outlineLevel="0" collapsed="false">
      <c r="A22" s="5" t="s">
        <v>43</v>
      </c>
      <c r="B22" s="5" t="n">
        <v>24</v>
      </c>
      <c r="C22" s="5" t="n">
        <v>5</v>
      </c>
      <c r="D22" s="6" t="s">
        <v>38</v>
      </c>
      <c r="E22" s="5" t="n">
        <v>0</v>
      </c>
      <c r="F22" s="5" t="s">
        <v>38</v>
      </c>
      <c r="G22" s="5" t="s">
        <v>35</v>
      </c>
      <c r="H22" s="7"/>
    </row>
    <row r="23" customFormat="false" ht="15" hidden="false" customHeight="false" outlineLevel="0" collapsed="false">
      <c r="A23" s="5" t="s">
        <v>44</v>
      </c>
      <c r="B23" s="5" t="n">
        <v>1</v>
      </c>
      <c r="C23" s="5" t="n">
        <v>0</v>
      </c>
      <c r="D23" s="6" t="s">
        <v>38</v>
      </c>
      <c r="E23" s="5" t="n">
        <v>0</v>
      </c>
      <c r="F23" s="5" t="s">
        <v>38</v>
      </c>
      <c r="G23" s="5" t="s">
        <v>45</v>
      </c>
      <c r="H23" s="7" t="s">
        <v>46</v>
      </c>
    </row>
    <row r="24" customFormat="false" ht="23.85" hidden="false" customHeight="false" outlineLevel="0" collapsed="false">
      <c r="A24" s="5" t="s">
        <v>47</v>
      </c>
      <c r="B24" s="5" t="n">
        <v>533</v>
      </c>
      <c r="C24" s="5" t="n">
        <v>0</v>
      </c>
      <c r="D24" s="6" t="s">
        <v>38</v>
      </c>
      <c r="E24" s="5" t="n">
        <v>0</v>
      </c>
      <c r="F24" s="5" t="s">
        <v>38</v>
      </c>
      <c r="G24" s="5" t="s">
        <v>48</v>
      </c>
      <c r="H24" s="7" t="s">
        <v>49</v>
      </c>
    </row>
    <row r="25" customFormat="false" ht="15" hidden="false" customHeight="false" outlineLevel="0" collapsed="false">
      <c r="A25" s="9" t="s">
        <v>50</v>
      </c>
      <c r="B25" s="9" t="n">
        <f aca="false">SUM(B7:B24)</f>
        <v>6812</v>
      </c>
      <c r="C25" s="9" t="n">
        <f aca="false">SUM(C7:C24)</f>
        <v>2281</v>
      </c>
      <c r="D25" s="10"/>
      <c r="E25" s="9" t="n">
        <f aca="false">SUM(E7:E24)</f>
        <v>46</v>
      </c>
      <c r="F25" s="10"/>
      <c r="G25" s="10"/>
      <c r="H25" s="10"/>
    </row>
    <row r="27" customFormat="false" ht="15" hidden="false" customHeight="false" outlineLevel="0" collapsed="false">
      <c r="A27" s="11" t="s">
        <v>51</v>
      </c>
    </row>
    <row r="28" customFormat="false" ht="15" hidden="false" customHeight="false" outlineLevel="0" collapsed="false">
      <c r="A28" s="12" t="s">
        <v>52</v>
      </c>
    </row>
    <row r="29" customFormat="false" ht="15" hidden="false" customHeight="false" outlineLevel="0" collapsed="false">
      <c r="A29" s="12" t="s">
        <v>53</v>
      </c>
    </row>
    <row r="30" customFormat="false" ht="15" hidden="false" customHeight="false" outlineLevel="0" collapsed="false">
      <c r="A30" s="12" t="s">
        <v>54</v>
      </c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 t="s">
        <v>55</v>
      </c>
    </row>
    <row r="33" customFormat="false" ht="15" hidden="false" customHeight="false" outlineLevel="0" collapsed="false">
      <c r="A33" s="12" t="s">
        <v>56</v>
      </c>
    </row>
    <row r="34" customFormat="false" ht="15" hidden="false" customHeight="false" outlineLevel="0" collapsed="false">
      <c r="A34" s="12" t="s">
        <v>57</v>
      </c>
    </row>
    <row r="35" customFormat="false" ht="15" hidden="false" customHeight="false" outlineLevel="0" collapsed="false">
      <c r="A35" s="12" t="s">
        <v>58</v>
      </c>
    </row>
    <row r="36" customFormat="false" ht="15" hidden="false" customHeight="false" outlineLevel="0" collapsed="false">
      <c r="A36" s="12" t="s">
        <v>59</v>
      </c>
    </row>
    <row r="37" customFormat="false" ht="15" hidden="false" customHeight="false" outlineLevel="0" collapsed="false">
      <c r="A37" s="12" t="s">
        <v>60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3" t="s">
        <v>61</v>
      </c>
    </row>
    <row r="3" customFormat="false" ht="30" hidden="false" customHeight="true" outlineLevel="0" collapsed="false">
      <c r="A3" s="4" t="s">
        <v>62</v>
      </c>
      <c r="B3" s="4" t="s">
        <v>63</v>
      </c>
      <c r="C3" s="4" t="s">
        <v>4</v>
      </c>
      <c r="D3" s="4" t="s">
        <v>6</v>
      </c>
    </row>
    <row r="4" customFormat="false" ht="15" hidden="false" customHeight="false" outlineLevel="0" collapsed="false">
      <c r="A4" s="14" t="s">
        <v>30</v>
      </c>
      <c r="B4" s="14" t="s">
        <v>64</v>
      </c>
      <c r="C4" s="14" t="n">
        <v>39</v>
      </c>
      <c r="D4" s="6"/>
    </row>
    <row r="5" customFormat="false" ht="15" hidden="false" customHeight="false" outlineLevel="0" collapsed="false">
      <c r="A5" s="14" t="s">
        <v>30</v>
      </c>
      <c r="B5" s="14" t="s">
        <v>65</v>
      </c>
      <c r="C5" s="14" t="n">
        <v>9</v>
      </c>
      <c r="D5" s="6" t="s">
        <v>12</v>
      </c>
    </row>
    <row r="6" customFormat="false" ht="15" hidden="false" customHeight="false" outlineLevel="0" collapsed="false">
      <c r="A6" s="14" t="s">
        <v>30</v>
      </c>
      <c r="B6" s="14" t="s">
        <v>66</v>
      </c>
      <c r="C6" s="14" t="n">
        <v>5</v>
      </c>
      <c r="D6" s="6" t="s">
        <v>12</v>
      </c>
    </row>
    <row r="7" customFormat="false" ht="15" hidden="false" customHeight="false" outlineLevel="0" collapsed="false">
      <c r="A7" s="14" t="s">
        <v>30</v>
      </c>
      <c r="B7" s="14" t="s">
        <v>67</v>
      </c>
      <c r="C7" s="14" t="n">
        <v>3</v>
      </c>
      <c r="D7" s="6"/>
    </row>
    <row r="8" customFormat="false" ht="15" hidden="false" customHeight="false" outlineLevel="0" collapsed="false">
      <c r="A8" s="14" t="s">
        <v>30</v>
      </c>
      <c r="B8" s="14" t="s">
        <v>68</v>
      </c>
      <c r="C8" s="14" t="n">
        <v>12</v>
      </c>
      <c r="D8" s="6"/>
    </row>
    <row r="9" customFormat="false" ht="15" hidden="false" customHeight="false" outlineLevel="0" collapsed="false">
      <c r="A9" s="14" t="s">
        <v>34</v>
      </c>
      <c r="B9" s="14" t="s">
        <v>69</v>
      </c>
      <c r="C9" s="14" t="n">
        <v>39</v>
      </c>
      <c r="D9" s="6" t="s">
        <v>12</v>
      </c>
    </row>
    <row r="10" customFormat="false" ht="15" hidden="false" customHeight="false" outlineLevel="0" collapsed="false">
      <c r="A10" s="14" t="s">
        <v>34</v>
      </c>
      <c r="B10" s="14" t="s">
        <v>70</v>
      </c>
      <c r="C10" s="14" t="n">
        <v>525</v>
      </c>
      <c r="D10" s="6" t="s">
        <v>38</v>
      </c>
    </row>
    <row r="11" customFormat="false" ht="15" hidden="false" customHeight="false" outlineLevel="0" collapsed="false">
      <c r="A11" s="14" t="s">
        <v>22</v>
      </c>
      <c r="B11" s="14" t="s">
        <v>71</v>
      </c>
      <c r="C11" s="14" t="n">
        <v>55</v>
      </c>
      <c r="D11" s="6" t="s">
        <v>12</v>
      </c>
    </row>
    <row r="12" customFormat="false" ht="15" hidden="false" customHeight="false" outlineLevel="0" collapsed="false">
      <c r="A12" s="14" t="s">
        <v>22</v>
      </c>
      <c r="B12" s="14" t="s">
        <v>72</v>
      </c>
      <c r="C12" s="14" t="n">
        <v>45</v>
      </c>
      <c r="D12" s="6" t="s">
        <v>12</v>
      </c>
    </row>
    <row r="13" customFormat="false" ht="15" hidden="false" customHeight="false" outlineLevel="0" collapsed="false">
      <c r="A13" s="14" t="s">
        <v>22</v>
      </c>
      <c r="B13" s="14" t="s">
        <v>73</v>
      </c>
      <c r="C13" s="14" t="n">
        <v>20</v>
      </c>
      <c r="D13" s="6"/>
    </row>
    <row r="14" customFormat="false" ht="15" hidden="false" customHeight="false" outlineLevel="0" collapsed="false">
      <c r="A14" s="14" t="s">
        <v>22</v>
      </c>
      <c r="B14" s="14" t="s">
        <v>74</v>
      </c>
      <c r="C14" s="14" t="n">
        <v>11</v>
      </c>
      <c r="D14" s="6"/>
    </row>
    <row r="15" customFormat="false" ht="15" hidden="false" customHeight="false" outlineLevel="0" collapsed="false">
      <c r="A15" s="14" t="s">
        <v>22</v>
      </c>
      <c r="B15" s="14" t="s">
        <v>68</v>
      </c>
      <c r="C15" s="14" t="n">
        <v>10</v>
      </c>
      <c r="D15" s="6"/>
    </row>
    <row r="16" customFormat="false" ht="15" hidden="false" customHeight="false" outlineLevel="0" collapsed="false">
      <c r="A16" s="14" t="s">
        <v>26</v>
      </c>
      <c r="B16" s="14" t="s">
        <v>75</v>
      </c>
      <c r="C16" s="14" t="n">
        <v>29</v>
      </c>
      <c r="D16" s="6" t="s">
        <v>12</v>
      </c>
    </row>
    <row r="17" customFormat="false" ht="15" hidden="false" customHeight="false" outlineLevel="0" collapsed="false">
      <c r="A17" s="14" t="s">
        <v>26</v>
      </c>
      <c r="B17" s="14" t="s">
        <v>76</v>
      </c>
      <c r="C17" s="14" t="n">
        <v>14</v>
      </c>
      <c r="D17" s="6" t="s">
        <v>12</v>
      </c>
    </row>
    <row r="18" customFormat="false" ht="15" hidden="false" customHeight="false" outlineLevel="0" collapsed="false">
      <c r="A18" s="14" t="s">
        <v>26</v>
      </c>
      <c r="B18" s="14" t="s">
        <v>77</v>
      </c>
      <c r="C18" s="14" t="n">
        <v>11</v>
      </c>
      <c r="D18" s="6"/>
    </row>
    <row r="19" customFormat="false" ht="15" hidden="false" customHeight="false" outlineLevel="0" collapsed="false">
      <c r="A19" s="14" t="s">
        <v>26</v>
      </c>
      <c r="B19" s="14" t="s">
        <v>78</v>
      </c>
      <c r="C19" s="14" t="n">
        <v>10</v>
      </c>
      <c r="D19" s="6"/>
    </row>
    <row r="20" customFormat="false" ht="15" hidden="false" customHeight="false" outlineLevel="0" collapsed="false">
      <c r="A20" s="14" t="s">
        <v>26</v>
      </c>
      <c r="B20" s="14" t="s">
        <v>79</v>
      </c>
      <c r="C20" s="14" t="n">
        <v>4</v>
      </c>
      <c r="D20" s="6" t="s">
        <v>12</v>
      </c>
    </row>
    <row r="21" customFormat="false" ht="15" hidden="false" customHeight="false" outlineLevel="0" collapsed="false">
      <c r="A21" s="14" t="s">
        <v>26</v>
      </c>
      <c r="B21" s="14" t="s">
        <v>80</v>
      </c>
      <c r="C21" s="14" t="n">
        <v>3</v>
      </c>
      <c r="D21" s="6" t="s">
        <v>12</v>
      </c>
    </row>
    <row r="22" customFormat="false" ht="15" hidden="false" customHeight="false" outlineLevel="0" collapsed="false">
      <c r="A22" s="14" t="s">
        <v>26</v>
      </c>
      <c r="B22" s="14" t="s">
        <v>81</v>
      </c>
      <c r="C22" s="14" t="n">
        <v>3</v>
      </c>
      <c r="D22" s="6"/>
    </row>
    <row r="23" customFormat="false" ht="15" hidden="false" customHeight="false" outlineLevel="0" collapsed="false">
      <c r="A23" s="14" t="s">
        <v>26</v>
      </c>
      <c r="B23" s="14" t="s">
        <v>82</v>
      </c>
      <c r="C23" s="14" t="n">
        <v>4</v>
      </c>
      <c r="D23" s="6"/>
    </row>
    <row r="24" customFormat="false" ht="15" hidden="false" customHeight="false" outlineLevel="0" collapsed="false">
      <c r="A24" s="14" t="s">
        <v>26</v>
      </c>
      <c r="B24" s="14" t="s">
        <v>83</v>
      </c>
      <c r="C24" s="14" t="n">
        <v>1</v>
      </c>
      <c r="D24" s="6"/>
    </row>
    <row r="25" customFormat="false" ht="15" hidden="false" customHeight="false" outlineLevel="0" collapsed="false">
      <c r="A25" s="14" t="s">
        <v>26</v>
      </c>
      <c r="B25" s="14" t="s">
        <v>68</v>
      </c>
      <c r="C25" s="14" t="n">
        <v>36</v>
      </c>
      <c r="D25" s="6"/>
    </row>
    <row r="26" customFormat="false" ht="15" hidden="false" customHeight="false" outlineLevel="0" collapsed="false">
      <c r="A26" s="14" t="s">
        <v>28</v>
      </c>
      <c r="B26" s="14" t="s">
        <v>84</v>
      </c>
      <c r="C26" s="14" t="n">
        <v>44</v>
      </c>
      <c r="D26" s="6" t="s">
        <v>12</v>
      </c>
    </row>
    <row r="27" customFormat="false" ht="15" hidden="false" customHeight="false" outlineLevel="0" collapsed="false">
      <c r="A27" s="14" t="s">
        <v>28</v>
      </c>
      <c r="B27" s="14" t="s">
        <v>85</v>
      </c>
      <c r="C27" s="14" t="n">
        <v>9</v>
      </c>
      <c r="D27" s="6" t="s">
        <v>12</v>
      </c>
    </row>
    <row r="28" customFormat="false" ht="15" hidden="false" customHeight="false" outlineLevel="0" collapsed="false">
      <c r="A28" s="14" t="s">
        <v>28</v>
      </c>
      <c r="B28" s="14" t="s">
        <v>86</v>
      </c>
      <c r="C28" s="14" t="n">
        <v>7</v>
      </c>
      <c r="D28" s="6" t="s">
        <v>12</v>
      </c>
    </row>
    <row r="29" customFormat="false" ht="15" hidden="false" customHeight="false" outlineLevel="0" collapsed="false">
      <c r="A29" s="14" t="s">
        <v>28</v>
      </c>
      <c r="B29" s="14" t="s">
        <v>87</v>
      </c>
      <c r="C29" s="14" t="n">
        <v>7</v>
      </c>
      <c r="D29" s="6" t="s">
        <v>12</v>
      </c>
    </row>
    <row r="30" customFormat="false" ht="15" hidden="false" customHeight="false" outlineLevel="0" collapsed="false">
      <c r="A30" s="14" t="s">
        <v>28</v>
      </c>
      <c r="B30" s="14" t="s">
        <v>88</v>
      </c>
      <c r="C30" s="14" t="n">
        <v>2</v>
      </c>
      <c r="D30" s="6" t="s">
        <v>12</v>
      </c>
    </row>
    <row r="31" customFormat="false" ht="15" hidden="false" customHeight="false" outlineLevel="0" collapsed="false">
      <c r="A31" s="14" t="s">
        <v>28</v>
      </c>
      <c r="B31" s="14" t="s">
        <v>89</v>
      </c>
      <c r="C31" s="14" t="n">
        <v>2</v>
      </c>
      <c r="D31" s="6"/>
    </row>
    <row r="32" customFormat="false" ht="15" hidden="false" customHeight="false" outlineLevel="0" collapsed="false">
      <c r="A32" s="14" t="s">
        <v>28</v>
      </c>
      <c r="B32" s="14" t="s">
        <v>90</v>
      </c>
      <c r="C32" s="14" t="n">
        <v>10</v>
      </c>
      <c r="D32" s="6"/>
    </row>
    <row r="33" customFormat="false" ht="15" hidden="false" customHeight="false" outlineLevel="0" collapsed="false">
      <c r="A33" s="14" t="s">
        <v>28</v>
      </c>
      <c r="B33" s="14" t="s">
        <v>68</v>
      </c>
      <c r="C33" s="14" t="n">
        <v>62</v>
      </c>
      <c r="D33" s="6"/>
    </row>
    <row r="34" customFormat="false" ht="15" hidden="false" customHeight="false" outlineLevel="0" collapsed="false">
      <c r="A34" s="14" t="s">
        <v>24</v>
      </c>
      <c r="B34" s="14" t="s">
        <v>91</v>
      </c>
      <c r="C34" s="14" t="n">
        <v>168</v>
      </c>
      <c r="D34" s="6" t="s">
        <v>12</v>
      </c>
    </row>
    <row r="35" customFormat="false" ht="15" hidden="false" customHeight="false" outlineLevel="0" collapsed="false">
      <c r="A35" s="14" t="s">
        <v>24</v>
      </c>
      <c r="B35" s="14" t="s">
        <v>68</v>
      </c>
      <c r="C35" s="14" t="n">
        <v>21</v>
      </c>
      <c r="D35" s="6"/>
    </row>
    <row r="37" customFormat="false" ht="15" hidden="false" customHeight="false" outlineLevel="0" collapsed="false">
      <c r="A37" s="1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2026-08-14T10:21:49Z</dcterms:created>
  <dc:creator>openpyxl</dc:creator>
  <dc:description/>
  <dc:language>en-US</dc:language>
  <cp:lastModifiedBy/>
  <dcterms:modified xsi:type="dcterms:W3CDTF">2026-08-14T10:21:49Z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