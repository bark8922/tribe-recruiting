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Unlinked Calls" sheetId="2" state="visible" r:id="rId4"/>
    <sheet name="By Recruiter" sheetId="3" state="visible" r:id="rId5"/>
  </sheets>
  <definedNames>
    <definedName function="false" hidden="true" localSheetId="1" name="_xlnm._FilterDatabase" vbProcedure="false">'Unlinked Calls'!$A$1:$R$115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<sst xmlns="http://schemas.openxmlformats.org/spreadsheetml/2006/main" count="1807" uniqueCount="425">
  <si>
    <t xml:space="preserve">Transcriber tool — screen logging quality</t>
  </si>
  <si>
    <t xml:space="preserve">Data: Keboola call_record (Bubble), 2026-07-13 to 2026-08-03. Testers excluded: Andreea Vrancianu, Rodrigo Gomes, Mikhail Kuzmin.</t>
  </si>
  <si>
    <t xml:space="preserve">THE PROBLEM</t>
  </si>
  <si>
    <t xml:space="preserve">The transcriber auto-logs a recruiter screen only if the call attaches to a candidate.</t>
  </si>
  <si>
    <t xml:space="preserve">When it does not attach, the screen is never logged and the recruiter never gets credit.</t>
  </si>
  <si>
    <t xml:space="preserve">HEADLINE</t>
  </si>
  <si>
    <t xml:space="preserve">Total calls by real recruiters</t>
  </si>
  <si>
    <t xml:space="preserve">Source: Keboola call_record, testers removed</t>
  </si>
  <si>
    <t xml:space="preserve">Calls with NO candidate attached</t>
  </si>
  <si>
    <t xml:space="preserve">Each one is a screen that was never logged</t>
  </si>
  <si>
    <t xml:space="preserve">Share of calls lost</t>
  </si>
  <si>
    <t xml:space="preserve">Roughly 1 in 4 screens never reaches the dashboard</t>
  </si>
  <si>
    <t xml:space="preserve">WHY THEY FAIL</t>
  </si>
  <si>
    <t xml:space="preserve">Failure mode</t>
  </si>
  <si>
    <t xml:space="preserve">Calls</t>
  </si>
  <si>
    <t xml:space="preserve">% of lost</t>
  </si>
  <si>
    <t xml:space="preserve">What it means</t>
  </si>
  <si>
    <t xml:space="preserve">Completed but never linked</t>
  </si>
  <si>
    <t xml:space="preserve">Transcript and summary both fine. Simply never attached. A silent failure with no error logged.</t>
  </si>
  <si>
    <t xml:space="preserve">No audio captured</t>
  </si>
  <si>
    <t xml:space="preserve">Transcript failed or timed out. Two errors dominate: empty transcription, and no spoken audio.</t>
  </si>
  <si>
    <t xml:space="preserve">Stuck processing</t>
  </si>
  <si>
    <t xml:space="preserve">Still sitting in "running". Never reached a terminal state, so it never linked.</t>
  </si>
  <si>
    <t xml:space="preserve">Not a screen</t>
  </si>
  <si>
    <t xml:space="preserve">Internal 1:1s, syncs, intakes and offer chats the tool recorded anyway. Correctly unlinked.</t>
  </si>
  <si>
    <t xml:space="preserve">TOTAL</t>
  </si>
  <si>
    <t xml:space="preserve">WHAT THIS TELLS US</t>
  </si>
  <si>
    <t xml:space="preserve">•</t>
  </si>
  <si>
    <t xml:space="preserve">It is NOT a version problem. Every extension version sits near 25-30% unlinked, so upgrading will not fix it.</t>
  </si>
  <si>
    <t xml:space="preserve">It fails silently. 97 of the 114 lost calls carry no error text at all, so nobody notices.</t>
  </si>
  <si>
    <t xml:space="preserve">It is not inherent to the tool. Marina Nikolic: 68 calls, zero lost. Lejla Silva: 31 calls, one lost.</t>
  </si>
  <si>
    <t xml:space="preserve">Kristina Colovic is the worst hit: 22 of 34 calls lost. She was also losing 23 screens to the separate attribution bug fixed today.</t>
  </si>
  <si>
    <t xml:space="preserve">Titles look decisive. Calls titled with a raw Google Meet code (e.g. "qbj-pvas-qeo") give the matcher no name to work with.</t>
  </si>
  <si>
    <t xml:space="preserve">Blank participant name is the other strong signal. Where PARTICIPANT is empty, linking almost always fails.</t>
  </si>
  <si>
    <t xml:space="preserve">Linkage and transcription are two different bugs. Lejla links almost perfectly but loses 9 of 31 transcripts.</t>
  </si>
  <si>
    <t xml:space="preserve">SUGGESTED NEXT STEPS FOR MIKHAIL</t>
  </si>
  <si>
    <t xml:space="preserve">→</t>
  </si>
  <si>
    <t xml:space="preserve">Take the 63 "Completed but never linked" rows and work out why the candidate match failed when everything else worked.</t>
  </si>
  <si>
    <t xml:space="preserve">Add an explicit failure state. A call that finishes without attaching to a candidate should raise an error, not pass silently.</t>
  </si>
  <si>
    <t xml:space="preserve">Check whether the matcher relies on the meeting title. If so, Meet-code titles will always fail and need a fallback.</t>
  </si>
  <si>
    <t xml:space="preserve">Compare Marina Nikolic and Lejla Silva against Kristina Colovic. Same tool, opposite outcomes, so the difference is findable.</t>
  </si>
  <si>
    <t xml:space="preserve">Handle the empty-transcription and no-spoken-audio errors separately. That is an audio capture bug, not a linking bug.</t>
  </si>
  <si>
    <t xml:space="preserve">Filter internal meetings out of screening mode so 1:1s and syncs stop entering the pipeline at all.</t>
  </si>
  <si>
    <t xml:space="preserve">CAVEAT ON VLADIMIR</t>
  </si>
  <si>
    <t xml:space="preserve">Vladimir has only 19 call records in a period where he reports about 46 screens. Even if every one had linked, it would not close his gap. He is mostly screening without the tool, which is a separate issue from this one.</t>
  </si>
  <si>
    <t xml:space="preserve">CATEGORY</t>
  </si>
  <si>
    <t xml:space="preserve">WHAT_IT_MEANS</t>
  </si>
  <si>
    <t xml:space="preserve">RECRUITER</t>
  </si>
  <si>
    <t xml:space="preserve">DATE</t>
  </si>
  <si>
    <t xml:space="preserve">ISO_WEEK</t>
  </si>
  <si>
    <t xml:space="preserve">PARTICIPANT</t>
  </si>
  <si>
    <t xml:space="preserve">MEET_TITLE</t>
  </si>
  <si>
    <t xml:space="preserve">JOB_NAME</t>
  </si>
  <si>
    <t xml:space="preserve">JOB_LINKED</t>
  </si>
  <si>
    <t xml:space="preserve">TITLE_IS_MEET_CODE</t>
  </si>
  <si>
    <t xml:space="preserve">PARTICIPANT_BLANK</t>
  </si>
  <si>
    <t xml:space="preserve">STATUS</t>
  </si>
  <si>
    <t xml:space="preserve">TRANSCRIPT</t>
  </si>
  <si>
    <t xml:space="preserve">SUMMARY</t>
  </si>
  <si>
    <t xml:space="preserve">CALL_MODE</t>
  </si>
  <si>
    <t xml:space="preserve">EXT_VERSION</t>
  </si>
  <si>
    <t xml:space="preserve">ERROR_TEXT</t>
  </si>
  <si>
    <t xml:space="preserve">CALL_ID</t>
  </si>
  <si>
    <t xml:space="preserve">SILENT FAILURE - transcript and summary fine, no candidate attached</t>
  </si>
  <si>
    <t xml:space="preserve">Aleksandra Vistac</t>
  </si>
  <si>
    <t xml:space="preserve">2026-07-28</t>
  </si>
  <si>
    <t xml:space="preserve">31</t>
  </si>
  <si>
    <t xml:space="preserve">Robert Kübler</t>
  </si>
  <si>
    <t xml:space="preserve">Initial Call with Enam (Robert Kübler)</t>
  </si>
  <si>
    <t xml:space="preserve">Machine Learning Engineer - Enam</t>
  </si>
  <si>
    <t xml:space="preserve">yes</t>
  </si>
  <si>
    <t xml:space="preserve">finished</t>
  </si>
  <si>
    <t xml:space="preserve">generated</t>
  </si>
  <si>
    <t xml:space="preserve">screening</t>
  </si>
  <si>
    <t xml:space="preserve">5.0.8</t>
  </si>
  <si>
    <t xml:space="preserve">1785230290618</t>
  </si>
  <si>
    <t xml:space="preserve">sergio wantumba</t>
  </si>
  <si>
    <t xml:space="preserve">Initial Call with Enam (sergio wantumba)</t>
  </si>
  <si>
    <t xml:space="preserve">Fullstack Engineer - Enam</t>
  </si>
  <si>
    <t xml:space="preserve">1785227667316</t>
  </si>
  <si>
    <t xml:space="preserve">Moha Najafi</t>
  </si>
  <si>
    <t xml:space="preserve">Initial Call with Enam (Moha Najafi)</t>
  </si>
  <si>
    <t xml:space="preserve">Security &amp; Compliance Engineer - Enam</t>
  </si>
  <si>
    <t xml:space="preserve">1785222227323</t>
  </si>
  <si>
    <t xml:space="preserve">2026-07-29</t>
  </si>
  <si>
    <t xml:space="preserve">Szymon Polom</t>
  </si>
  <si>
    <t xml:space="preserve">Initial Call with Enam (Szymon Polom)</t>
  </si>
  <si>
    <t xml:space="preserve">1785324794268</t>
  </si>
  <si>
    <t xml:space="preserve">Srinidhi Patil</t>
  </si>
  <si>
    <t xml:space="preserve">Initial Call with Enam (Srinidhi Patil)</t>
  </si>
  <si>
    <t xml:space="preserve">1785319413348</t>
  </si>
  <si>
    <t xml:space="preserve">2026-07-30</t>
  </si>
  <si>
    <t xml:space="preserve">Tsovak Sahakyan</t>
  </si>
  <si>
    <t xml:space="preserve">Initial Call with Enam (Tsovak Sahakyan)</t>
  </si>
  <si>
    <t xml:space="preserve">1785411182750</t>
  </si>
  <si>
    <t xml:space="preserve">Siddarth Pawar</t>
  </si>
  <si>
    <t xml:space="preserve">Initial Call with Enam (Siddarth Pawar - Fullstack Interview - Enam)</t>
  </si>
  <si>
    <t xml:space="preserve">1785405904694</t>
  </si>
  <si>
    <t xml:space="preserve">Onur Kuru</t>
  </si>
  <si>
    <t xml:space="preserve">Initial Call with Enam (Onur Kuru)</t>
  </si>
  <si>
    <t xml:space="preserve">1785408549916</t>
  </si>
  <si>
    <t xml:space="preserve">Kamila Kinayat</t>
  </si>
  <si>
    <t xml:space="preserve">Initial Call with Enam (Kamila Kinayat)</t>
  </si>
  <si>
    <t xml:space="preserve">1785397656254</t>
  </si>
  <si>
    <t xml:space="preserve">2026-07-31</t>
  </si>
  <si>
    <t xml:space="preserve">Artur Thiessen</t>
  </si>
  <si>
    <t xml:space="preserve">Initial Call with Enam (Artur Thiessen - Fullstack Interview Enam)</t>
  </si>
  <si>
    <t xml:space="preserve">1785494978125</t>
  </si>
  <si>
    <t xml:space="preserve">Elie Kawerk</t>
  </si>
  <si>
    <t xml:space="preserve">Initial Call with Enam (Elie Kawerk)</t>
  </si>
  <si>
    <t xml:space="preserve">1785492264648</t>
  </si>
  <si>
    <t xml:space="preserve">2026-08-03</t>
  </si>
  <si>
    <t xml:space="preserve">32</t>
  </si>
  <si>
    <t xml:space="preserve">Sevet Gokay</t>
  </si>
  <si>
    <t xml:space="preserve">Initial Call with Enam (Sevet Gokay - FS Enam 1st Interview)</t>
  </si>
  <si>
    <t xml:space="preserve">1785746140312</t>
  </si>
  <si>
    <t xml:space="preserve">Redzhep Mehmedov</t>
  </si>
  <si>
    <t xml:space="preserve">Initial Call with Enam (Redzhep Mehmedov)</t>
  </si>
  <si>
    <t xml:space="preserve">1785754227949</t>
  </si>
  <si>
    <t xml:space="preserve">Henry Ofozor</t>
  </si>
  <si>
    <t xml:space="preserve">Initial Call with Enam (Henry Ofozor)</t>
  </si>
  <si>
    <t xml:space="preserve">5.0.9</t>
  </si>
  <si>
    <t xml:space="preserve">1785759449028</t>
  </si>
  <si>
    <t xml:space="preserve">Chené Elliot</t>
  </si>
  <si>
    <t xml:space="preserve">2026-07-27</t>
  </si>
  <si>
    <t xml:space="preserve">qbj-pvas-qeo</t>
  </si>
  <si>
    <t xml:space="preserve">Product Designer Glovo - Glovo</t>
  </si>
  <si>
    <t xml:space="preserve">YES</t>
  </si>
  <si>
    <t xml:space="preserve">1785144652639</t>
  </si>
  <si>
    <t xml:space="preserve">bwh-ajra-vtm</t>
  </si>
  <si>
    <t xml:space="preserve">1785331897019</t>
  </si>
  <si>
    <t xml:space="preserve">omf-naob-vvw</t>
  </si>
  <si>
    <t xml:space="preserve">1785318375856</t>
  </si>
  <si>
    <t xml:space="preserve">Dušan Špica</t>
  </si>
  <si>
    <t xml:space="preserve">2026-07-16</t>
  </si>
  <si>
    <t xml:space="preserve">29</t>
  </si>
  <si>
    <t xml:space="preserve">Temi Olugbake</t>
  </si>
  <si>
    <t xml:space="preserve">Temi Olugbake: 30 Minute Talent Interview</t>
  </si>
  <si>
    <t xml:space="preserve">Senior Software Engineer (UK) - Fullstack (Ecosystem/Shop) - Eucalyptus</t>
  </si>
  <si>
    <t xml:space="preserve">1784198441152</t>
  </si>
  <si>
    <t xml:space="preserve">AJ Lawal</t>
  </si>
  <si>
    <t xml:space="preserve">AJ Lawal: 30 Minute Talent Interview</t>
  </si>
  <si>
    <t xml:space="preserve">Analytics Engineer - Eucalyptus</t>
  </si>
  <si>
    <t xml:space="preserve">1784199697556</t>
  </si>
  <si>
    <t xml:space="preserve">2026-07-17</t>
  </si>
  <si>
    <t xml:space="preserve">Dusan</t>
  </si>
  <si>
    <t xml:space="preserve">Talent Interview - Dusan &amp; Vijayalaxmi Vastrad</t>
  </si>
  <si>
    <t xml:space="preserve">5.0.6</t>
  </si>
  <si>
    <t xml:space="preserve">1784296841772</t>
  </si>
  <si>
    <t xml:space="preserve">Filip Nogowski</t>
  </si>
  <si>
    <t xml:space="preserve">2026-07-21</t>
  </si>
  <si>
    <t xml:space="preserve">30</t>
  </si>
  <si>
    <t xml:space="preserve">Kelechukwu Nwosu</t>
  </si>
  <si>
    <t xml:space="preserve">Kelechukwu Nwosu and Filip Nogowski</t>
  </si>
  <si>
    <t xml:space="preserve">NO</t>
  </si>
  <si>
    <t xml:space="preserve">5.0.7</t>
  </si>
  <si>
    <t xml:space="preserve">1784630001611</t>
  </si>
  <si>
    <t xml:space="preserve">Fuad Safarov</t>
  </si>
  <si>
    <t xml:space="preserve">2026-07-24</t>
  </si>
  <si>
    <t xml:space="preserve">Ritik Khandelwal</t>
  </si>
  <si>
    <t xml:space="preserve">Recruiter Screen, Account Executive - Ritik Khandelwal</t>
  </si>
  <si>
    <t xml:space="preserve">Account Executive - India - Aiven</t>
  </si>
  <si>
    <t xml:space="preserve">1784898023631</t>
  </si>
  <si>
    <t xml:space="preserve">Iryna Dyda</t>
  </si>
  <si>
    <t xml:space="preserve">Luka Burian</t>
  </si>
  <si>
    <t xml:space="preserve">Meet – Luka Burian and Iryna Dyda</t>
  </si>
  <si>
    <t xml:space="preserve">Junior Backend Developer - France - AVIV</t>
  </si>
  <si>
    <t xml:space="preserve">1784205066564</t>
  </si>
  <si>
    <t xml:space="preserve">Milan Rakoš</t>
  </si>
  <si>
    <t xml:space="preserve">Meet – Milan Rakoš and Iryna Dyda</t>
  </si>
  <si>
    <t xml:space="preserve">Frontend Engineer - Croatia - AVIV</t>
  </si>
  <si>
    <t xml:space="preserve">1785405703984</t>
  </si>
  <si>
    <t xml:space="preserve">Mario Sparica</t>
  </si>
  <si>
    <t xml:space="preserve">Meet – Mario Sparica: 30 Minute Meeting</t>
  </si>
  <si>
    <t xml:space="preserve">Backend Engineer - Croatia - AVIV</t>
  </si>
  <si>
    <t xml:space="preserve">1785411102178</t>
  </si>
  <si>
    <t xml:space="preserve">Jelena Lacmanovic</t>
  </si>
  <si>
    <t xml:space="preserve">Jure Todoric</t>
  </si>
  <si>
    <t xml:space="preserve">Meet – Jure Todoric: 30 Minute Meeting</t>
  </si>
  <si>
    <t xml:space="preserve">Senior Salesforce Developer (Contract) - AVIV</t>
  </si>
  <si>
    <t xml:space="preserve">1784633497227</t>
  </si>
  <si>
    <t xml:space="preserve">Branimir Svabic</t>
  </si>
  <si>
    <t xml:space="preserve">Meet – Branimir Svabic: 30 Minute Meeting</t>
  </si>
  <si>
    <t xml:space="preserve">1785238254304</t>
  </si>
  <si>
    <t xml:space="preserve">Kristina Colovic</t>
  </si>
  <si>
    <t xml:space="preserve">Oleg Yasnev</t>
  </si>
  <si>
    <t xml:space="preserve">Meet – Oleg Yasnev and Kristina Colovic</t>
  </si>
  <si>
    <t xml:space="preserve">Engineering Manager, Platform - Berlin - AVIV</t>
  </si>
  <si>
    <t xml:space="preserve">1784633391795</t>
  </si>
  <si>
    <t xml:space="preserve">Julian Gog</t>
  </si>
  <si>
    <t xml:space="preserve">Meet – Julian Gog and Wladyslaw Gadomski</t>
  </si>
  <si>
    <t xml:space="preserve">1784887176457</t>
  </si>
  <si>
    <t xml:space="preserve">Thomas berrod</t>
  </si>
  <si>
    <t xml:space="preserve">Meet – Thomas berrod and Kristina Colovic</t>
  </si>
  <si>
    <t xml:space="preserve">Engineering Manager France, Kristina - AVIV</t>
  </si>
  <si>
    <t xml:space="preserve">1784885356197</t>
  </si>
  <si>
    <t xml:space="preserve">Lionel Martin</t>
  </si>
  <si>
    <t xml:space="preserve">Meet – Lionel Martin and Kristina Colovic</t>
  </si>
  <si>
    <t xml:space="preserve">1785331853573</t>
  </si>
  <si>
    <t xml:space="preserve">Manikandan Kandasamy</t>
  </si>
  <si>
    <t xml:space="preserve">Meet – Manikandan Kandasamy and Kristina Colovic</t>
  </si>
  <si>
    <t xml:space="preserve">Staff Backend Engineer Trust &amp; Safety - Kristina - Berlin - AVIV</t>
  </si>
  <si>
    <t xml:space="preserve">1785321069123</t>
  </si>
  <si>
    <t xml:space="preserve">1785320998173</t>
  </si>
  <si>
    <t xml:space="preserve">Evgenii Bazhanov</t>
  </si>
  <si>
    <t xml:space="preserve">Meet – Evgenii Bazhanov and Kristina Colovic</t>
  </si>
  <si>
    <t xml:space="preserve">QA Engineer, Automation - AVIV</t>
  </si>
  <si>
    <t xml:space="preserve">1785493805563</t>
  </si>
  <si>
    <t xml:space="preserve">Manikandan Karunanidhi</t>
  </si>
  <si>
    <t xml:space="preserve">Meet – Manikandan Karunanidhi and Kristina Colovic</t>
  </si>
  <si>
    <t xml:space="preserve">1785499216552</t>
  </si>
  <si>
    <t xml:space="preserve">1785499262395</t>
  </si>
  <si>
    <t xml:space="preserve">M Aaqib Habib</t>
  </si>
  <si>
    <t xml:space="preserve">Meet – M Aaqib Habib and Kristina Colovic</t>
  </si>
  <si>
    <t xml:space="preserve">1785502904853</t>
  </si>
  <si>
    <t xml:space="preserve">1785503559209</t>
  </si>
  <si>
    <t xml:space="preserve">Saqib Ahmed</t>
  </si>
  <si>
    <t xml:space="preserve">Meet – Saqib Ahmed and Kristina Colovic</t>
  </si>
  <si>
    <t xml:space="preserve">1785745853502</t>
  </si>
  <si>
    <t xml:space="preserve">Lejla Silva</t>
  </si>
  <si>
    <t xml:space="preserve">2026-07-22</t>
  </si>
  <si>
    <t xml:space="preserve">Mohssine ARDI</t>
  </si>
  <si>
    <t xml:space="preserve">Meet: Mohssine ARDI and Lejla Dizdarevic</t>
  </si>
  <si>
    <t xml:space="preserve">1784713171030</t>
  </si>
  <si>
    <t xml:space="preserve">Lisa Gargulinska</t>
  </si>
  <si>
    <t xml:space="preserve">Fabian</t>
  </si>
  <si>
    <t xml:space="preserve">Wolt and Fabian | Video Interview</t>
  </si>
  <si>
    <t xml:space="preserve">Team Lead Sales, Region North - Wolt</t>
  </si>
  <si>
    <t xml:space="preserve">1785142660872</t>
  </si>
  <si>
    <t xml:space="preserve">Mariam Chkhikvadze</t>
  </si>
  <si>
    <t xml:space="preserve">Melissa Villarreal</t>
  </si>
  <si>
    <t xml:space="preserve">Senior Talent Acquisition Partner (Tech &amp; Product) - Recruiter Screen - Melissa Villarreal</t>
  </si>
  <si>
    <t xml:space="preserve">1785232038379</t>
  </si>
  <si>
    <t xml:space="preserve">Dorotea Kelcec</t>
  </si>
  <si>
    <t xml:space="preserve">German-speaking Talent Acquisition Partner (GTM) - Recruiter Screen - Dorotea Kelcec</t>
  </si>
  <si>
    <t xml:space="preserve">German-speaking TA (GTM) - Immediate Start (July '26) - TXYZ-5 - Tribe.xyz (IR)</t>
  </si>
  <si>
    <t xml:space="preserve">1785495614483</t>
  </si>
  <si>
    <t xml:space="preserve">Nenad Skoko</t>
  </si>
  <si>
    <t xml:space="preserve">wos-wfoe-qbj</t>
  </si>
  <si>
    <t xml:space="preserve">1784730926964</t>
  </si>
  <si>
    <t xml:space="preserve">1784728759563</t>
  </si>
  <si>
    <t xml:space="preserve">Niki Vokalkova</t>
  </si>
  <si>
    <t xml:space="preserve">2026-07-20</t>
  </si>
  <si>
    <t xml:space="preserve">Emma Lénártová</t>
  </si>
  <si>
    <t xml:space="preserve">Wolt Video Interview | Emma Lénártová</t>
  </si>
  <si>
    <t xml:space="preserve">Retail Account Manager SVK - Wolt</t>
  </si>
  <si>
    <t xml:space="preserve">1784550617530</t>
  </si>
  <si>
    <t xml:space="preserve">Sabina Mukanova</t>
  </si>
  <si>
    <t xml:space="preserve">Wolt Intro Call | Sabina Mukanova</t>
  </si>
  <si>
    <t xml:space="preserve">1785222037131</t>
  </si>
  <si>
    <t xml:space="preserve">Samantha Nel</t>
  </si>
  <si>
    <t xml:space="preserve">ehj-dyzw-ewi</t>
  </si>
  <si>
    <t xml:space="preserve">1785756735364</t>
  </si>
  <si>
    <t xml:space="preserve">zmp-sxjj-niy</t>
  </si>
  <si>
    <t xml:space="preserve">1785749470378</t>
  </si>
  <si>
    <t xml:space="preserve">Simon Siew</t>
  </si>
  <si>
    <t xml:space="preserve">2026-07-14</t>
  </si>
  <si>
    <t xml:space="preserve">Meet – bbh-chfv-igc</t>
  </si>
  <si>
    <t xml:space="preserve">Senior Fullstack Engineer | Amsterdam - Reaktor</t>
  </si>
  <si>
    <t xml:space="preserve">1784017182488</t>
  </si>
  <si>
    <t xml:space="preserve">Artem Zhivoderov</t>
  </si>
  <si>
    <t xml:space="preserve">Meet – intro call (engineering) - Artem Zhivoderov - Senior Fullstack Developer</t>
  </si>
  <si>
    <t xml:space="preserve">Senior Fullstack Engineer | Lisbon - Reaktor</t>
  </si>
  <si>
    <t xml:space="preserve">1785254366114</t>
  </si>
  <si>
    <t xml:space="preserve">Vladimir Stankovic</t>
  </si>
  <si>
    <t xml:space="preserve">Aleksandr Tolstoff</t>
  </si>
  <si>
    <t xml:space="preserve">Recruiter Screen, Backend Engineer, ClickHouse - Aleksandr Tolstoff</t>
  </si>
  <si>
    <t xml:space="preserve">Senior Software Engineer (Finland) - Aiven</t>
  </si>
  <si>
    <t xml:space="preserve">1785754848761</t>
  </si>
  <si>
    <t xml:space="preserve">Dzmitry Tarasau</t>
  </si>
  <si>
    <t xml:space="preserve">Recruiter Screen, Senior Software Engineer, Database OEM - Dzmitry Tarasau</t>
  </si>
  <si>
    <t xml:space="preserve">1785757557235</t>
  </si>
  <si>
    <t xml:space="preserve">Leonid Weinberg</t>
  </si>
  <si>
    <t xml:space="preserve">Recruiter Screen, Senior Software Engineer, Database Operations - Leonid Weinberg</t>
  </si>
  <si>
    <t xml:space="preserve">Senior Software Engineer (Israel) - Aiven</t>
  </si>
  <si>
    <t xml:space="preserve">1785760253252</t>
  </si>
  <si>
    <t xml:space="preserve">Vitaly Kazimirov</t>
  </si>
  <si>
    <t xml:space="preserve">Recruiter Screen, Senior Software Engineer, Database Operations - Vitaly Kazimirov</t>
  </si>
  <si>
    <t xml:space="preserve">1785762046911</t>
  </si>
  <si>
    <t xml:space="preserve">Transcript failed or timed out, so the call never completed</t>
  </si>
  <si>
    <t xml:space="preserve">Initial Call with Enam (Suyash Raghava)</t>
  </si>
  <si>
    <t xml:space="preserve">running</t>
  </si>
  <si>
    <t xml:space="preserve">failed</t>
  </si>
  <si>
    <t xml:space="preserve">generating</t>
  </si>
  <si>
    <t xml:space="preserve">Getting data from gemini failed error: get_data called with empty transcription</t>
  </si>
  <si>
    <t xml:space="preserve">1785500297500</t>
  </si>
  <si>
    <t xml:space="preserve">Glovo</t>
  </si>
  <si>
    <t xml:space="preserve">1784197933100</t>
  </si>
  <si>
    <t xml:space="preserve">tzb-ixii-ytk</t>
  </si>
  <si>
    <t xml:space="preserve">1784196128599</t>
  </si>
  <si>
    <t xml:space="preserve">Recruiter Screen, Technical Support Engineer - Bengaluru - Inba Malar Vendhan A</t>
  </si>
  <si>
    <t xml:space="preserve">Technical Support Engineer - Australia / India - Aiven</t>
  </si>
  <si>
    <t xml:space="preserve">language_detection cannot be performed on files with no spoken audio.</t>
  </si>
  <si>
    <t xml:space="preserve">1784273613665</t>
  </si>
  <si>
    <t xml:space="preserve">Recruiter Screen, Enterprise Account Executive - Sweden - Millis Heimklo</t>
  </si>
  <si>
    <t xml:space="preserve">Enterprise Account Executive - Sweden - Aiven</t>
  </si>
  <si>
    <t xml:space="preserve">1784271389218</t>
  </si>
  <si>
    <t xml:space="preserve">Recruiter Screen, Enterprise Account Executive - Sweden - Edona Kelmendi</t>
  </si>
  <si>
    <t xml:space="preserve">1784275251296</t>
  </si>
  <si>
    <t xml:space="preserve">Recruiter Screen, Account Executive - Surakshaa K M</t>
  </si>
  <si>
    <t xml:space="preserve">1784885522223</t>
  </si>
  <si>
    <t xml:space="preserve">1785409271373</t>
  </si>
  <si>
    <t xml:space="preserve">Jan Dokulil</t>
  </si>
  <si>
    <t xml:space="preserve">You're Interviewing! | Patient Support Specialist, Germany | Ana Krsmanovic</t>
  </si>
  <si>
    <t xml:space="preserve">Patient Support Specialist - Eucalyptus</t>
  </si>
  <si>
    <t xml:space="preserve">1784890869775</t>
  </si>
  <si>
    <t xml:space="preserve">Meet – Hector Vizzavona: 30 Minute Meeting</t>
  </si>
  <si>
    <t xml:space="preserve">1784547084880</t>
  </si>
  <si>
    <t xml:space="preserve">Meet – Madalin Pintoiu: 30 Minute Meeting</t>
  </si>
  <si>
    <t xml:space="preserve">timeout</t>
  </si>
  <si>
    <t xml:space="preserve">1784536256802</t>
  </si>
  <si>
    <t xml:space="preserve">Meet – Olivier FANOMEZANTSOA: 30 Minute Meeting</t>
  </si>
  <si>
    <t xml:space="preserve">Senior Backend Engineer Paris - Aviv - AVIV</t>
  </si>
  <si>
    <t xml:space="preserve">1784720436166</t>
  </si>
  <si>
    <t xml:space="preserve">Meet – Driss BEN MESSAOUD: 30 Minute Meeting</t>
  </si>
  <si>
    <t xml:space="preserve">1784709414904</t>
  </si>
  <si>
    <t xml:space="preserve">2026-07-23</t>
  </si>
  <si>
    <t xml:space="preserve">1784795511252</t>
  </si>
  <si>
    <t xml:space="preserve">Meet – Syrine Smeti: 30 Minute Meeting</t>
  </si>
  <si>
    <t xml:space="preserve">1785151939871</t>
  </si>
  <si>
    <t xml:space="preserve">1785151863122</t>
  </si>
  <si>
    <t xml:space="preserve">Meet – Arman and Wladyslaw Gadomski</t>
  </si>
  <si>
    <t xml:space="preserve">1784622686029</t>
  </si>
  <si>
    <t xml:space="preserve">Meet – Ruslan Shna and Wladyslaw Gadomski</t>
  </si>
  <si>
    <t xml:space="preserve">1784629825439</t>
  </si>
  <si>
    <t xml:space="preserve">Meet – Mubashir Iqba and Kristina Colovic</t>
  </si>
  <si>
    <t xml:space="preserve">1785315590471</t>
  </si>
  <si>
    <t xml:space="preserve">Meet – Talal Mahmood Chaudhry and Kristina Colovic</t>
  </si>
  <si>
    <t xml:space="preserve">1785490239500</t>
  </si>
  <si>
    <t xml:space="preserve">1785490191050</t>
  </si>
  <si>
    <t xml:space="preserve">Wolt and Cem | Video Interview</t>
  </si>
  <si>
    <t xml:space="preserve">Territory Sales Manager - Bayern/Munich - Wolt</t>
  </si>
  <si>
    <t xml:space="preserve">1784195926679</t>
  </si>
  <si>
    <t xml:space="preserve">Wolt and Nikita | Video Interview</t>
  </si>
  <si>
    <t xml:space="preserve">1784194098654</t>
  </si>
  <si>
    <t xml:space="preserve">Wolt and Onur | Video Interview</t>
  </si>
  <si>
    <t xml:space="preserve">Account Manager (2025.03914) München, Germany - Wolt</t>
  </si>
  <si>
    <t xml:space="preserve">1784274816407</t>
  </si>
  <si>
    <t xml:space="preserve">Wolt and Christopher | Video Interview</t>
  </si>
  <si>
    <t xml:space="preserve">1785148251245</t>
  </si>
  <si>
    <t xml:space="preserve">Senior Talent Acquisition Partner (Tech &amp; Product) - Recruiter Screen - Ruben Beltran</t>
  </si>
  <si>
    <t xml:space="preserve">Tech Talent Acquisition Partner (Mexico) - TXYZ-4 - Tribe.xyz (IR)</t>
  </si>
  <si>
    <t xml:space="preserve">1784563183403</t>
  </si>
  <si>
    <t xml:space="preserve">Senior Talent Acquisition Partner (Tech &amp; Product) - Recruiter Screen - Diana Garcia</t>
  </si>
  <si>
    <t xml:space="preserve">1784642412649</t>
  </si>
  <si>
    <t xml:space="preserve">1784538029944</t>
  </si>
  <si>
    <t xml:space="preserve">2026-07-13</t>
  </si>
  <si>
    <t xml:space="preserve">jtz-dqvc-qvs</t>
  </si>
  <si>
    <t xml:space="preserve">Junior Analytics Engineer - AI &amp; Data Enablement - Glovo</t>
  </si>
  <si>
    <t xml:space="preserve">1783945961326</t>
  </si>
  <si>
    <t xml:space="preserve">1784017034092</t>
  </si>
  <si>
    <t xml:space="preserve">1785227755918</t>
  </si>
  <si>
    <t xml:space="preserve">1785223924854</t>
  </si>
  <si>
    <t xml:space="preserve">Unknown user</t>
  </si>
  <si>
    <t xml:space="preserve">Recruiter Screen, Senior Software Engineer, Database OEM - Golam Rabbi</t>
  </si>
  <si>
    <t xml:space="preserve">1784900417177</t>
  </si>
  <si>
    <t xml:space="preserve">Wladyslaw Gadomski</t>
  </si>
  <si>
    <t xml:space="preserve">Meet – Arulamirtharaj A and Wladyslaw Gadomski</t>
  </si>
  <si>
    <t xml:space="preserve">Principal Quality engineer - AVIV</t>
  </si>
  <si>
    <t xml:space="preserve">1784280651934</t>
  </si>
  <si>
    <t xml:space="preserve">Exclude - internal meeting or intake, correctly unlinked</t>
  </si>
  <si>
    <t xml:space="preserve">Enam / OrangeQ: Check-in</t>
  </si>
  <si>
    <t xml:space="preserve">1785762135018</t>
  </si>
  <si>
    <t xml:space="preserve">EU | TA &amp; EMs | Eng Hiring Sync</t>
  </si>
  <si>
    <t xml:space="preserve">1784204405150</t>
  </si>
  <si>
    <t xml:space="preserve">Lisa/Kent/Dusan Quick Sync</t>
  </si>
  <si>
    <t xml:space="preserve">1784545181981</t>
  </si>
  <si>
    <t xml:space="preserve">Thirafi</t>
  </si>
  <si>
    <t xml:space="preserve">Thirafi &amp; Dusan - Offer Discussion</t>
  </si>
  <si>
    <t xml:space="preserve">1784620759155</t>
  </si>
  <si>
    <t xml:space="preserve">Dusan &amp; Thirafi - Offer Discussion</t>
  </si>
  <si>
    <t xml:space="preserve">1784707203231</t>
  </si>
  <si>
    <t xml:space="preserve">Meet – Filip / Niki 1:1</t>
  </si>
  <si>
    <t xml:space="preserve">1784628220645</t>
  </si>
  <si>
    <t xml:space="preserve">Gustavo Loureiro Castro</t>
  </si>
  <si>
    <t xml:space="preserve">Anthony / Gustavo - VoIP</t>
  </si>
  <si>
    <t xml:space="preserve">1784733407085</t>
  </si>
  <si>
    <t xml:space="preserve">Eve</t>
  </si>
  <si>
    <t xml:space="preserve">Eve / Gustavo - SAP Integration Architect Sync</t>
  </si>
  <si>
    <t xml:space="preserve">intake</t>
  </si>
  <si>
    <t xml:space="preserve">1785238253643</t>
  </si>
  <si>
    <t xml:space="preserve">Jan / Marcela</t>
  </si>
  <si>
    <t xml:space="preserve">1785330051039</t>
  </si>
  <si>
    <t xml:space="preserve">David</t>
  </si>
  <si>
    <t xml:space="preserve">David / Samantha - Role Intake + Intro</t>
  </si>
  <si>
    <t xml:space="preserve">1785157226455</t>
  </si>
  <si>
    <t xml:space="preserve">Friday Team Meeting</t>
  </si>
  <si>
    <t xml:space="preserve">1784900855796</t>
  </si>
  <si>
    <t xml:space="preserve">Still "running" - never reached a terminal state</t>
  </si>
  <si>
    <t xml:space="preserve">1785751306161</t>
  </si>
  <si>
    <t xml:space="preserve">Meet – Victor SCHMITT and Kristina Colovic</t>
  </si>
  <si>
    <t xml:space="preserve">1784624465760</t>
  </si>
  <si>
    <t xml:space="preserve">Meet – Willy NYANTCHOU NOUBISSIE and Kristina Colovic</t>
  </si>
  <si>
    <t xml:space="preserve">1784631574682</t>
  </si>
  <si>
    <t xml:space="preserve">Meet – Maximillian Sandmann and Kristina Colovic</t>
  </si>
  <si>
    <t xml:space="preserve">Senior Backend Engineer, Platform Team - Berlin (Kristina) - AVIV</t>
  </si>
  <si>
    <t xml:space="preserve">1784727102101</t>
  </si>
  <si>
    <t xml:space="preserve">1784885522301</t>
  </si>
  <si>
    <t xml:space="preserve">Meet – Bryan Moreno and Kristina Colovic</t>
  </si>
  <si>
    <t xml:space="preserve">1784892582016</t>
  </si>
  <si>
    <t xml:space="preserve">2026-07-15</t>
  </si>
  <si>
    <t xml:space="preserve">Wolt and Philip | Video Interview</t>
  </si>
  <si>
    <t xml:space="preserve">Territory Sales Manager - Berlin - Wolt</t>
  </si>
  <si>
    <t xml:space="preserve">1784107775051</t>
  </si>
  <si>
    <t xml:space="preserve">Wolt and Kamille | Video Interview</t>
  </si>
  <si>
    <t xml:space="preserve">1784105805963</t>
  </si>
  <si>
    <t xml:space="preserve">Wolt and Sebastian | Video Interview</t>
  </si>
  <si>
    <t xml:space="preserve">1784708993552</t>
  </si>
  <si>
    <t xml:space="preserve">1784885815806</t>
  </si>
  <si>
    <t xml:space="preserve">German-speaking Talent Acquisition Partner (GTM) - Recruiter Screen - Szabina Topa</t>
  </si>
  <si>
    <t xml:space="preserve">1785755768293</t>
  </si>
  <si>
    <t xml:space="preserve">uaz-pdfg-mpf</t>
  </si>
  <si>
    <t xml:space="preserve">Senior UX Manager - Glovo</t>
  </si>
  <si>
    <t xml:space="preserve">1785744061962</t>
  </si>
  <si>
    <t xml:space="preserve">Recruiter Screen, Senior Software Engineer, Database OEM - Mikhail Golubtsov</t>
  </si>
  <si>
    <t xml:space="preserve">1785763858617</t>
  </si>
  <si>
    <t xml:space="preserve">Transcriber linkage by recruiter</t>
  </si>
  <si>
    <t xml:space="preserve">Testers excluded (Andreea Vrancianu, Rodrigo Gomes, Mikhail Kuzmin) per Blake, 2026-08-03.</t>
  </si>
  <si>
    <t xml:space="preserve">Recruiter</t>
  </si>
  <si>
    <t xml:space="preserve">Total calls</t>
  </si>
  <si>
    <t xml:space="preserve">Unlinked</t>
  </si>
  <si>
    <t xml:space="preserve">% unlinked</t>
  </si>
  <si>
    <t xml:space="preserve">Marina Nikolic</t>
  </si>
  <si>
    <t xml:space="preserve">Alexandra Richiteanu</t>
  </si>
  <si>
    <t xml:space="preserve">Blue = source data pulled from Keboola call_record. Black = calculated from the Unlinked Calls tab.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</si>
</sst>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DCE6F1"/>
      </patternFill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4" min="3" style="0" width="14"/>
    <col collapsed="false" customWidth="true" hidden="false" outlineLevel="0" max="5" min="5" style="0" width="62"/>
  </cols>
  <sheetData>
    <row r="2" customFormat="false" ht="27.75" hidden="false" customHeight="true" outlineLevel="0" collapsed="false">
      <c r="B2" s="1" t="s">
        <v>0</v>
      </c>
      <c r="C2" s="1"/>
      <c r="D2" s="1"/>
      <c r="E2" s="1"/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5" t="s">
        <v>6</v>
      </c>
      <c r="C10" s="6" t="n">
        <v>412</v>
      </c>
      <c r="E10" s="7" t="s">
        <v>7</v>
      </c>
    </row>
    <row r="11" customFormat="false" ht="15" hidden="false" customHeight="false" outlineLevel="0" collapsed="false">
      <c r="B11" s="5" t="s">
        <v>8</v>
      </c>
      <c r="C11" s="8" t="n">
        <f aca="false">COUNTA('Unlinked Calls'!A2:A115)</f>
        <v>114</v>
      </c>
      <c r="E11" s="7" t="s">
        <v>9</v>
      </c>
    </row>
    <row r="12" customFormat="false" ht="15" hidden="false" customHeight="false" outlineLevel="0" collapsed="false">
      <c r="B12" s="5" t="s">
        <v>10</v>
      </c>
      <c r="C12" s="9" t="n">
        <f aca="false">C11/C10</f>
        <v>0.276699029126214</v>
      </c>
      <c r="E12" s="7" t="s">
        <v>11</v>
      </c>
    </row>
    <row r="14" customFormat="false" ht="15" hidden="false" customHeight="false" outlineLevel="0" collapsed="false">
      <c r="B14" s="3" t="s">
        <v>12</v>
      </c>
    </row>
    <row r="15" customFormat="false" ht="15" hidden="false" customHeight="false" outlineLevel="0" collapsed="false">
      <c r="B15" s="10" t="s">
        <v>13</v>
      </c>
      <c r="C15" s="10" t="s">
        <v>14</v>
      </c>
      <c r="D15" s="10" t="s">
        <v>15</v>
      </c>
      <c r="E15" s="10" t="s">
        <v>16</v>
      </c>
    </row>
    <row r="16" customFormat="false" ht="23.85" hidden="false" customHeight="false" outlineLevel="0" collapsed="false">
      <c r="B16" s="11" t="s">
        <v>17</v>
      </c>
      <c r="C16" s="12" t="n">
        <f aca="false">COUNTIF('Unlinked Calls'!$A$2:$A$115,$B16)</f>
        <v>55</v>
      </c>
      <c r="D16" s="13" t="n">
        <f aca="false">IFERROR(C16/$C$11,0)</f>
        <v>0.482456140350877</v>
      </c>
      <c r="E16" s="14" t="s">
        <v>18</v>
      </c>
    </row>
    <row r="17" customFormat="false" ht="23.85" hidden="false" customHeight="false" outlineLevel="0" collapsed="false">
      <c r="B17" s="15" t="s">
        <v>19</v>
      </c>
      <c r="C17" s="12" t="n">
        <f aca="false">COUNTIF('Unlinked Calls'!$A$2:$A$115,$B17)</f>
        <v>35</v>
      </c>
      <c r="D17" s="13" t="n">
        <f aca="false">IFERROR(C17/$C$11,0)</f>
        <v>0.307017543859649</v>
      </c>
      <c r="E17" s="14" t="s">
        <v>20</v>
      </c>
    </row>
    <row r="18" customFormat="false" ht="15" hidden="false" customHeight="false" outlineLevel="0" collapsed="false">
      <c r="B18" s="15" t="s">
        <v>21</v>
      </c>
      <c r="C18" s="12" t="n">
        <f aca="false">COUNTIF('Unlinked Calls'!$A$2:$A$115,$B18)</f>
        <v>13</v>
      </c>
      <c r="D18" s="13" t="n">
        <f aca="false">IFERROR(C18/$C$11,0)</f>
        <v>0.114035087719298</v>
      </c>
      <c r="E18" s="14" t="s">
        <v>22</v>
      </c>
    </row>
    <row r="19" customFormat="false" ht="23.85" hidden="false" customHeight="false" outlineLevel="0" collapsed="false">
      <c r="B19" s="16" t="s">
        <v>23</v>
      </c>
      <c r="C19" s="12" t="n">
        <f aca="false">COUNTIF('Unlinked Calls'!$A$2:$A$115,$B19)</f>
        <v>11</v>
      </c>
      <c r="D19" s="13" t="n">
        <f aca="false">IFERROR(C19/$C$11,0)</f>
        <v>0.0964912280701754</v>
      </c>
      <c r="E19" s="14" t="s">
        <v>24</v>
      </c>
    </row>
    <row r="20" customFormat="false" ht="15" hidden="false" customHeight="false" outlineLevel="0" collapsed="false">
      <c r="B20" s="17" t="s">
        <v>25</v>
      </c>
      <c r="C20" s="18" t="n">
        <f aca="false">SUM(C16:C19)</f>
        <v>114</v>
      </c>
      <c r="D20" s="19" t="n">
        <f aca="false">SUM(D16:D19)</f>
        <v>1</v>
      </c>
      <c r="E20" s="17"/>
    </row>
    <row r="22" customFormat="false" ht="15" hidden="false" customHeight="false" outlineLevel="0" collapsed="false">
      <c r="B22" s="3" t="s">
        <v>26</v>
      </c>
    </row>
    <row r="23" customFormat="false" ht="25.5" hidden="false" customHeight="true" outlineLevel="0" collapsed="false">
      <c r="B23" s="4" t="s">
        <v>27</v>
      </c>
      <c r="C23" s="20" t="s">
        <v>28</v>
      </c>
      <c r="D23" s="20"/>
      <c r="E23" s="20"/>
    </row>
    <row r="24" customFormat="false" ht="25.5" hidden="false" customHeight="true" outlineLevel="0" collapsed="false">
      <c r="B24" s="4" t="s">
        <v>27</v>
      </c>
      <c r="C24" s="20" t="s">
        <v>29</v>
      </c>
      <c r="D24" s="20"/>
      <c r="E24" s="20"/>
    </row>
    <row r="25" customFormat="false" ht="25.5" hidden="false" customHeight="true" outlineLevel="0" collapsed="false">
      <c r="B25" s="4" t="s">
        <v>27</v>
      </c>
      <c r="C25" s="20" t="s">
        <v>30</v>
      </c>
      <c r="D25" s="20"/>
      <c r="E25" s="20"/>
    </row>
    <row r="26" customFormat="false" ht="25.5" hidden="false" customHeight="true" outlineLevel="0" collapsed="false">
      <c r="B26" s="4" t="s">
        <v>27</v>
      </c>
      <c r="C26" s="20" t="s">
        <v>31</v>
      </c>
      <c r="D26" s="20"/>
      <c r="E26" s="20"/>
    </row>
    <row r="27" customFormat="false" ht="25.5" hidden="false" customHeight="true" outlineLevel="0" collapsed="false">
      <c r="B27" s="4" t="s">
        <v>27</v>
      </c>
      <c r="C27" s="20" t="s">
        <v>32</v>
      </c>
      <c r="D27" s="20"/>
      <c r="E27" s="20"/>
    </row>
    <row r="28" customFormat="false" ht="25.5" hidden="false" customHeight="true" outlineLevel="0" collapsed="false">
      <c r="B28" s="4" t="s">
        <v>27</v>
      </c>
      <c r="C28" s="20" t="s">
        <v>33</v>
      </c>
      <c r="D28" s="20"/>
      <c r="E28" s="20"/>
    </row>
    <row r="29" customFormat="false" ht="25.5" hidden="false" customHeight="true" outlineLevel="0" collapsed="false">
      <c r="B29" s="4" t="s">
        <v>27</v>
      </c>
      <c r="C29" s="20" t="s">
        <v>34</v>
      </c>
      <c r="D29" s="20"/>
      <c r="E29" s="20"/>
    </row>
    <row r="31" customFormat="false" ht="15" hidden="false" customHeight="false" outlineLevel="0" collapsed="false">
      <c r="B31" s="3" t="s">
        <v>35</v>
      </c>
    </row>
    <row r="32" customFormat="false" ht="25.5" hidden="false" customHeight="true" outlineLevel="0" collapsed="false">
      <c r="B32" s="4" t="s">
        <v>36</v>
      </c>
      <c r="C32" s="20" t="s">
        <v>37</v>
      </c>
      <c r="D32" s="20"/>
      <c r="E32" s="20"/>
    </row>
    <row r="33" customFormat="false" ht="25.5" hidden="false" customHeight="true" outlineLevel="0" collapsed="false">
      <c r="B33" s="4" t="s">
        <v>36</v>
      </c>
      <c r="C33" s="20" t="s">
        <v>38</v>
      </c>
      <c r="D33" s="20"/>
      <c r="E33" s="20"/>
    </row>
    <row r="34" customFormat="false" ht="25.5" hidden="false" customHeight="true" outlineLevel="0" collapsed="false">
      <c r="B34" s="4" t="s">
        <v>36</v>
      </c>
      <c r="C34" s="20" t="s">
        <v>39</v>
      </c>
      <c r="D34" s="20"/>
      <c r="E34" s="20"/>
    </row>
    <row r="35" customFormat="false" ht="25.5" hidden="false" customHeight="true" outlineLevel="0" collapsed="false">
      <c r="B35" s="4" t="s">
        <v>36</v>
      </c>
      <c r="C35" s="20" t="s">
        <v>40</v>
      </c>
      <c r="D35" s="20"/>
      <c r="E35" s="20"/>
    </row>
    <row r="36" customFormat="false" ht="25.5" hidden="false" customHeight="true" outlineLevel="0" collapsed="false">
      <c r="B36" s="4" t="s">
        <v>36</v>
      </c>
      <c r="C36" s="20" t="s">
        <v>41</v>
      </c>
      <c r="D36" s="20"/>
      <c r="E36" s="20"/>
    </row>
    <row r="37" customFormat="false" ht="25.5" hidden="false" customHeight="true" outlineLevel="0" collapsed="false">
      <c r="B37" s="4" t="s">
        <v>36</v>
      </c>
      <c r="C37" s="20" t="s">
        <v>42</v>
      </c>
      <c r="D37" s="20"/>
      <c r="E37" s="20"/>
    </row>
    <row r="39" customFormat="false" ht="15" hidden="false" customHeight="false" outlineLevel="0" collapsed="false">
      <c r="B39" s="3" t="s">
        <v>43</v>
      </c>
    </row>
    <row r="40" customFormat="false" ht="30" hidden="false" customHeight="true" outlineLevel="0" collapsed="false">
      <c r="B40" s="20" t="s">
        <v>44</v>
      </c>
      <c r="C40" s="20"/>
      <c r="D40" s="20"/>
      <c r="E40" s="20"/>
    </row>
  </sheetData>
  <mergeCells count="15">
    <mergeCell ref="B2:E2"/>
    <mergeCell ref="C23:E23"/>
    <mergeCell ref="C24:E24"/>
    <mergeCell ref="C25:E25"/>
    <mergeCell ref="C26:E26"/>
    <mergeCell ref="C27:E27"/>
    <mergeCell ref="C28:E28"/>
    <mergeCell ref="C29:E29"/>
    <mergeCell ref="C32:E32"/>
    <mergeCell ref="C33:E33"/>
    <mergeCell ref="C34:E34"/>
    <mergeCell ref="C35:E35"/>
    <mergeCell ref="C36:E36"/>
    <mergeCell ref="C37:E37"/>
    <mergeCell ref="B40:E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24"/>
    <col collapsed="false" customWidth="true" hidden="false" outlineLevel="0" max="7" min="7" style="0" width="52"/>
    <col collapsed="false" customWidth="true" hidden="false" outlineLevel="0" max="8" min="8" style="0" width="44"/>
    <col collapsed="false" customWidth="true" hidden="false" outlineLevel="0" max="9" min="9" style="0" width="11"/>
    <col collapsed="false" customWidth="true" hidden="false" outlineLevel="0" max="11" min="10" style="0" width="18"/>
    <col collapsed="false" customWidth="true" hidden="false" outlineLevel="0" max="12" min="12" style="0" width="11"/>
    <col collapsed="false" customWidth="true" hidden="false" outlineLevel="0" max="14" min="13" style="0" width="12"/>
    <col collapsed="false" customWidth="true" hidden="false" outlineLevel="0" max="15" min="15" style="0" width="11"/>
    <col collapsed="false" customWidth="true" hidden="false" outlineLevel="0" max="16" min="16" style="0" width="12"/>
    <col collapsed="false" customWidth="true" hidden="false" outlineLevel="0" max="17" min="17" style="0" width="56"/>
    <col collapsed="false" customWidth="true" hidden="false" outlineLevel="0" max="18" min="18" style="0" width="18"/>
  </cols>
  <sheetData>
    <row r="1" customFormat="false" ht="23.85" hidden="false" customHeight="false" outlineLevel="0" collapsed="false">
      <c r="A1" s="21" t="s">
        <v>45</v>
      </c>
      <c r="B1" s="21" t="s">
        <v>46</v>
      </c>
      <c r="C1" s="21" t="s">
        <v>47</v>
      </c>
      <c r="D1" s="21" t="s">
        <v>48</v>
      </c>
      <c r="E1" s="21" t="s">
        <v>49</v>
      </c>
      <c r="F1" s="21" t="s">
        <v>50</v>
      </c>
      <c r="G1" s="21" t="s">
        <v>51</v>
      </c>
      <c r="H1" s="21" t="s">
        <v>52</v>
      </c>
      <c r="I1" s="21" t="s">
        <v>53</v>
      </c>
      <c r="J1" s="21" t="s">
        <v>54</v>
      </c>
      <c r="K1" s="21" t="s">
        <v>55</v>
      </c>
      <c r="L1" s="21" t="s">
        <v>56</v>
      </c>
      <c r="M1" s="21" t="s">
        <v>57</v>
      </c>
      <c r="N1" s="21" t="s">
        <v>58</v>
      </c>
      <c r="O1" s="21" t="s">
        <v>59</v>
      </c>
      <c r="P1" s="21" t="s">
        <v>60</v>
      </c>
      <c r="Q1" s="21" t="s">
        <v>61</v>
      </c>
      <c r="R1" s="21" t="s">
        <v>62</v>
      </c>
    </row>
    <row r="2" customFormat="false" ht="23.85" hidden="false" customHeight="false" outlineLevel="0" collapsed="false">
      <c r="A2" s="22" t="s">
        <v>17</v>
      </c>
      <c r="B2" s="23" t="s">
        <v>63</v>
      </c>
      <c r="C2" s="24" t="s">
        <v>64</v>
      </c>
      <c r="D2" s="24" t="s">
        <v>65</v>
      </c>
      <c r="E2" s="24" t="s">
        <v>66</v>
      </c>
      <c r="F2" s="24" t="s">
        <v>67</v>
      </c>
      <c r="G2" s="23" t="s">
        <v>68</v>
      </c>
      <c r="H2" s="23" t="s">
        <v>69</v>
      </c>
      <c r="I2" s="24" t="s">
        <v>70</v>
      </c>
      <c r="J2" s="24"/>
      <c r="K2" s="24"/>
      <c r="L2" s="24" t="s">
        <v>71</v>
      </c>
      <c r="M2" s="24" t="s">
        <v>72</v>
      </c>
      <c r="N2" s="24" t="s">
        <v>72</v>
      </c>
      <c r="O2" s="24" t="s">
        <v>73</v>
      </c>
      <c r="P2" s="24" t="s">
        <v>74</v>
      </c>
      <c r="Q2" s="23"/>
      <c r="R2" s="24" t="s">
        <v>75</v>
      </c>
    </row>
    <row r="3" customFormat="false" ht="23.85" hidden="false" customHeight="false" outlineLevel="0" collapsed="false">
      <c r="A3" s="22" t="s">
        <v>17</v>
      </c>
      <c r="B3" s="23" t="s">
        <v>63</v>
      </c>
      <c r="C3" s="24" t="s">
        <v>64</v>
      </c>
      <c r="D3" s="24" t="s">
        <v>65</v>
      </c>
      <c r="E3" s="24" t="s">
        <v>66</v>
      </c>
      <c r="F3" s="24" t="s">
        <v>76</v>
      </c>
      <c r="G3" s="23" t="s">
        <v>77</v>
      </c>
      <c r="H3" s="23" t="s">
        <v>78</v>
      </c>
      <c r="I3" s="24" t="s">
        <v>70</v>
      </c>
      <c r="J3" s="24"/>
      <c r="K3" s="24"/>
      <c r="L3" s="24" t="s">
        <v>71</v>
      </c>
      <c r="M3" s="24" t="s">
        <v>72</v>
      </c>
      <c r="N3" s="24" t="s">
        <v>72</v>
      </c>
      <c r="O3" s="24" t="s">
        <v>73</v>
      </c>
      <c r="P3" s="24" t="s">
        <v>74</v>
      </c>
      <c r="Q3" s="23"/>
      <c r="R3" s="24" t="s">
        <v>79</v>
      </c>
    </row>
    <row r="4" customFormat="false" ht="23.85" hidden="false" customHeight="false" outlineLevel="0" collapsed="false">
      <c r="A4" s="22" t="s">
        <v>17</v>
      </c>
      <c r="B4" s="23" t="s">
        <v>63</v>
      </c>
      <c r="C4" s="24" t="s">
        <v>64</v>
      </c>
      <c r="D4" s="24" t="s">
        <v>65</v>
      </c>
      <c r="E4" s="24" t="s">
        <v>66</v>
      </c>
      <c r="F4" s="24" t="s">
        <v>80</v>
      </c>
      <c r="G4" s="23" t="s">
        <v>81</v>
      </c>
      <c r="H4" s="23" t="s">
        <v>82</v>
      </c>
      <c r="I4" s="24" t="s">
        <v>70</v>
      </c>
      <c r="J4" s="24"/>
      <c r="K4" s="24"/>
      <c r="L4" s="24" t="s">
        <v>71</v>
      </c>
      <c r="M4" s="24" t="s">
        <v>72</v>
      </c>
      <c r="N4" s="24" t="s">
        <v>72</v>
      </c>
      <c r="O4" s="24" t="s">
        <v>73</v>
      </c>
      <c r="P4" s="24" t="s">
        <v>74</v>
      </c>
      <c r="Q4" s="23"/>
      <c r="R4" s="24" t="s">
        <v>83</v>
      </c>
    </row>
    <row r="5" customFormat="false" ht="23.85" hidden="false" customHeight="false" outlineLevel="0" collapsed="false">
      <c r="A5" s="22" t="s">
        <v>17</v>
      </c>
      <c r="B5" s="23" t="s">
        <v>63</v>
      </c>
      <c r="C5" s="24" t="s">
        <v>64</v>
      </c>
      <c r="D5" s="24" t="s">
        <v>84</v>
      </c>
      <c r="E5" s="24" t="s">
        <v>66</v>
      </c>
      <c r="F5" s="24" t="s">
        <v>85</v>
      </c>
      <c r="G5" s="23" t="s">
        <v>86</v>
      </c>
      <c r="H5" s="23" t="s">
        <v>78</v>
      </c>
      <c r="I5" s="24" t="s">
        <v>70</v>
      </c>
      <c r="J5" s="24"/>
      <c r="K5" s="24"/>
      <c r="L5" s="24" t="s">
        <v>71</v>
      </c>
      <c r="M5" s="24" t="s">
        <v>72</v>
      </c>
      <c r="N5" s="24" t="s">
        <v>72</v>
      </c>
      <c r="O5" s="24" t="s">
        <v>73</v>
      </c>
      <c r="P5" s="24" t="s">
        <v>74</v>
      </c>
      <c r="Q5" s="23"/>
      <c r="R5" s="24" t="s">
        <v>87</v>
      </c>
    </row>
    <row r="6" customFormat="false" ht="23.85" hidden="false" customHeight="false" outlineLevel="0" collapsed="false">
      <c r="A6" s="22" t="s">
        <v>17</v>
      </c>
      <c r="B6" s="23" t="s">
        <v>63</v>
      </c>
      <c r="C6" s="24" t="s">
        <v>64</v>
      </c>
      <c r="D6" s="24" t="s">
        <v>84</v>
      </c>
      <c r="E6" s="24" t="s">
        <v>66</v>
      </c>
      <c r="F6" s="24" t="s">
        <v>88</v>
      </c>
      <c r="G6" s="23" t="s">
        <v>89</v>
      </c>
      <c r="H6" s="23" t="s">
        <v>69</v>
      </c>
      <c r="I6" s="24" t="s">
        <v>70</v>
      </c>
      <c r="J6" s="24"/>
      <c r="K6" s="24"/>
      <c r="L6" s="24" t="s">
        <v>71</v>
      </c>
      <c r="M6" s="24" t="s">
        <v>72</v>
      </c>
      <c r="N6" s="24" t="s">
        <v>72</v>
      </c>
      <c r="O6" s="24" t="s">
        <v>73</v>
      </c>
      <c r="P6" s="24" t="s">
        <v>74</v>
      </c>
      <c r="Q6" s="23"/>
      <c r="R6" s="24" t="s">
        <v>90</v>
      </c>
    </row>
    <row r="7" customFormat="false" ht="23.85" hidden="false" customHeight="false" outlineLevel="0" collapsed="false">
      <c r="A7" s="22" t="s">
        <v>17</v>
      </c>
      <c r="B7" s="23" t="s">
        <v>63</v>
      </c>
      <c r="C7" s="24" t="s">
        <v>64</v>
      </c>
      <c r="D7" s="24" t="s">
        <v>91</v>
      </c>
      <c r="E7" s="24" t="s">
        <v>66</v>
      </c>
      <c r="F7" s="24" t="s">
        <v>92</v>
      </c>
      <c r="G7" s="23" t="s">
        <v>93</v>
      </c>
      <c r="H7" s="23" t="s">
        <v>78</v>
      </c>
      <c r="I7" s="24" t="s">
        <v>70</v>
      </c>
      <c r="J7" s="24"/>
      <c r="K7" s="24"/>
      <c r="L7" s="24" t="s">
        <v>71</v>
      </c>
      <c r="M7" s="24" t="s">
        <v>72</v>
      </c>
      <c r="N7" s="24" t="s">
        <v>72</v>
      </c>
      <c r="O7" s="24" t="s">
        <v>73</v>
      </c>
      <c r="P7" s="24" t="s">
        <v>74</v>
      </c>
      <c r="Q7" s="23"/>
      <c r="R7" s="24" t="s">
        <v>94</v>
      </c>
    </row>
    <row r="8" customFormat="false" ht="23.85" hidden="false" customHeight="false" outlineLevel="0" collapsed="false">
      <c r="A8" s="22" t="s">
        <v>17</v>
      </c>
      <c r="B8" s="23" t="s">
        <v>63</v>
      </c>
      <c r="C8" s="24" t="s">
        <v>64</v>
      </c>
      <c r="D8" s="24" t="s">
        <v>91</v>
      </c>
      <c r="E8" s="24" t="s">
        <v>66</v>
      </c>
      <c r="F8" s="24" t="s">
        <v>95</v>
      </c>
      <c r="G8" s="23" t="s">
        <v>96</v>
      </c>
      <c r="H8" s="23" t="s">
        <v>78</v>
      </c>
      <c r="I8" s="24" t="s">
        <v>70</v>
      </c>
      <c r="J8" s="24"/>
      <c r="K8" s="24"/>
      <c r="L8" s="24" t="s">
        <v>71</v>
      </c>
      <c r="M8" s="24" t="s">
        <v>72</v>
      </c>
      <c r="N8" s="24" t="s">
        <v>72</v>
      </c>
      <c r="O8" s="24" t="s">
        <v>73</v>
      </c>
      <c r="P8" s="24" t="s">
        <v>74</v>
      </c>
      <c r="Q8" s="23"/>
      <c r="R8" s="24" t="s">
        <v>97</v>
      </c>
    </row>
    <row r="9" customFormat="false" ht="23.85" hidden="false" customHeight="false" outlineLevel="0" collapsed="false">
      <c r="A9" s="22" t="s">
        <v>17</v>
      </c>
      <c r="B9" s="23" t="s">
        <v>63</v>
      </c>
      <c r="C9" s="24" t="s">
        <v>64</v>
      </c>
      <c r="D9" s="24" t="s">
        <v>91</v>
      </c>
      <c r="E9" s="24" t="s">
        <v>66</v>
      </c>
      <c r="F9" s="24" t="s">
        <v>98</v>
      </c>
      <c r="G9" s="23" t="s">
        <v>99</v>
      </c>
      <c r="H9" s="23" t="s">
        <v>69</v>
      </c>
      <c r="I9" s="24" t="s">
        <v>70</v>
      </c>
      <c r="J9" s="24"/>
      <c r="K9" s="24"/>
      <c r="L9" s="24" t="s">
        <v>71</v>
      </c>
      <c r="M9" s="24" t="s">
        <v>72</v>
      </c>
      <c r="N9" s="24" t="s">
        <v>72</v>
      </c>
      <c r="O9" s="24" t="s">
        <v>73</v>
      </c>
      <c r="P9" s="24" t="s">
        <v>74</v>
      </c>
      <c r="Q9" s="23"/>
      <c r="R9" s="24" t="s">
        <v>100</v>
      </c>
    </row>
    <row r="10" customFormat="false" ht="23.85" hidden="false" customHeight="false" outlineLevel="0" collapsed="false">
      <c r="A10" s="22" t="s">
        <v>17</v>
      </c>
      <c r="B10" s="23" t="s">
        <v>63</v>
      </c>
      <c r="C10" s="24" t="s">
        <v>64</v>
      </c>
      <c r="D10" s="24" t="s">
        <v>91</v>
      </c>
      <c r="E10" s="24" t="s">
        <v>66</v>
      </c>
      <c r="F10" s="24" t="s">
        <v>101</v>
      </c>
      <c r="G10" s="23" t="s">
        <v>102</v>
      </c>
      <c r="H10" s="23" t="s">
        <v>69</v>
      </c>
      <c r="I10" s="24" t="s">
        <v>70</v>
      </c>
      <c r="J10" s="24"/>
      <c r="K10" s="24"/>
      <c r="L10" s="24" t="s">
        <v>71</v>
      </c>
      <c r="M10" s="24" t="s">
        <v>72</v>
      </c>
      <c r="N10" s="24" t="s">
        <v>72</v>
      </c>
      <c r="O10" s="24" t="s">
        <v>73</v>
      </c>
      <c r="P10" s="24" t="s">
        <v>74</v>
      </c>
      <c r="Q10" s="23"/>
      <c r="R10" s="24" t="s">
        <v>103</v>
      </c>
    </row>
    <row r="11" customFormat="false" ht="23.85" hidden="false" customHeight="false" outlineLevel="0" collapsed="false">
      <c r="A11" s="22" t="s">
        <v>17</v>
      </c>
      <c r="B11" s="23" t="s">
        <v>63</v>
      </c>
      <c r="C11" s="24" t="s">
        <v>64</v>
      </c>
      <c r="D11" s="24" t="s">
        <v>104</v>
      </c>
      <c r="E11" s="24" t="s">
        <v>66</v>
      </c>
      <c r="F11" s="24" t="s">
        <v>105</v>
      </c>
      <c r="G11" s="23" t="s">
        <v>106</v>
      </c>
      <c r="H11" s="23" t="s">
        <v>78</v>
      </c>
      <c r="I11" s="24" t="s">
        <v>70</v>
      </c>
      <c r="J11" s="24"/>
      <c r="K11" s="24"/>
      <c r="L11" s="24" t="s">
        <v>71</v>
      </c>
      <c r="M11" s="24" t="s">
        <v>72</v>
      </c>
      <c r="N11" s="24" t="s">
        <v>72</v>
      </c>
      <c r="O11" s="24" t="s">
        <v>73</v>
      </c>
      <c r="P11" s="24" t="s">
        <v>74</v>
      </c>
      <c r="Q11" s="23"/>
      <c r="R11" s="24" t="s">
        <v>107</v>
      </c>
    </row>
    <row r="12" customFormat="false" ht="23.85" hidden="false" customHeight="false" outlineLevel="0" collapsed="false">
      <c r="A12" s="22" t="s">
        <v>17</v>
      </c>
      <c r="B12" s="23" t="s">
        <v>63</v>
      </c>
      <c r="C12" s="24" t="s">
        <v>64</v>
      </c>
      <c r="D12" s="24" t="s">
        <v>104</v>
      </c>
      <c r="E12" s="24" t="s">
        <v>66</v>
      </c>
      <c r="F12" s="24" t="s">
        <v>108</v>
      </c>
      <c r="G12" s="23" t="s">
        <v>109</v>
      </c>
      <c r="H12" s="23" t="s">
        <v>69</v>
      </c>
      <c r="I12" s="24" t="s">
        <v>70</v>
      </c>
      <c r="J12" s="24"/>
      <c r="K12" s="24"/>
      <c r="L12" s="24" t="s">
        <v>71</v>
      </c>
      <c r="M12" s="24" t="s">
        <v>72</v>
      </c>
      <c r="N12" s="24" t="s">
        <v>72</v>
      </c>
      <c r="O12" s="24" t="s">
        <v>73</v>
      </c>
      <c r="P12" s="24" t="s">
        <v>74</v>
      </c>
      <c r="Q12" s="23"/>
      <c r="R12" s="24" t="s">
        <v>110</v>
      </c>
    </row>
    <row r="13" customFormat="false" ht="23.85" hidden="false" customHeight="false" outlineLevel="0" collapsed="false">
      <c r="A13" s="22" t="s">
        <v>17</v>
      </c>
      <c r="B13" s="23" t="s">
        <v>63</v>
      </c>
      <c r="C13" s="24" t="s">
        <v>64</v>
      </c>
      <c r="D13" s="24" t="s">
        <v>111</v>
      </c>
      <c r="E13" s="24" t="s">
        <v>112</v>
      </c>
      <c r="F13" s="24" t="s">
        <v>113</v>
      </c>
      <c r="G13" s="23" t="s">
        <v>114</v>
      </c>
      <c r="H13" s="23" t="s">
        <v>78</v>
      </c>
      <c r="I13" s="24" t="s">
        <v>70</v>
      </c>
      <c r="J13" s="24"/>
      <c r="K13" s="24"/>
      <c r="L13" s="24" t="s">
        <v>71</v>
      </c>
      <c r="M13" s="24" t="s">
        <v>72</v>
      </c>
      <c r="N13" s="24" t="s">
        <v>72</v>
      </c>
      <c r="O13" s="24" t="s">
        <v>73</v>
      </c>
      <c r="P13" s="24" t="s">
        <v>74</v>
      </c>
      <c r="Q13" s="23"/>
      <c r="R13" s="24" t="s">
        <v>115</v>
      </c>
    </row>
    <row r="14" customFormat="false" ht="23.85" hidden="false" customHeight="false" outlineLevel="0" collapsed="false">
      <c r="A14" s="22" t="s">
        <v>17</v>
      </c>
      <c r="B14" s="23" t="s">
        <v>63</v>
      </c>
      <c r="C14" s="24" t="s">
        <v>64</v>
      </c>
      <c r="D14" s="24" t="s">
        <v>111</v>
      </c>
      <c r="E14" s="24" t="s">
        <v>112</v>
      </c>
      <c r="F14" s="24" t="s">
        <v>116</v>
      </c>
      <c r="G14" s="23" t="s">
        <v>117</v>
      </c>
      <c r="H14" s="23" t="s">
        <v>69</v>
      </c>
      <c r="I14" s="24" t="s">
        <v>70</v>
      </c>
      <c r="J14" s="24"/>
      <c r="K14" s="24"/>
      <c r="L14" s="24" t="s">
        <v>71</v>
      </c>
      <c r="M14" s="24" t="s">
        <v>72</v>
      </c>
      <c r="N14" s="24" t="s">
        <v>72</v>
      </c>
      <c r="O14" s="24" t="s">
        <v>73</v>
      </c>
      <c r="P14" s="24" t="s">
        <v>74</v>
      </c>
      <c r="Q14" s="23"/>
      <c r="R14" s="24" t="s">
        <v>118</v>
      </c>
    </row>
    <row r="15" customFormat="false" ht="23.85" hidden="false" customHeight="false" outlineLevel="0" collapsed="false">
      <c r="A15" s="22" t="s">
        <v>17</v>
      </c>
      <c r="B15" s="23" t="s">
        <v>63</v>
      </c>
      <c r="C15" s="24" t="s">
        <v>64</v>
      </c>
      <c r="D15" s="24" t="s">
        <v>111</v>
      </c>
      <c r="E15" s="24" t="s">
        <v>112</v>
      </c>
      <c r="F15" s="24" t="s">
        <v>119</v>
      </c>
      <c r="G15" s="23" t="s">
        <v>120</v>
      </c>
      <c r="H15" s="23" t="s">
        <v>82</v>
      </c>
      <c r="I15" s="24" t="s">
        <v>70</v>
      </c>
      <c r="J15" s="24"/>
      <c r="K15" s="24"/>
      <c r="L15" s="24" t="s">
        <v>71</v>
      </c>
      <c r="M15" s="24" t="s">
        <v>72</v>
      </c>
      <c r="N15" s="24" t="s">
        <v>72</v>
      </c>
      <c r="O15" s="24" t="s">
        <v>73</v>
      </c>
      <c r="P15" s="24" t="s">
        <v>121</v>
      </c>
      <c r="Q15" s="23"/>
      <c r="R15" s="24" t="s">
        <v>122</v>
      </c>
    </row>
    <row r="16" customFormat="false" ht="23.85" hidden="false" customHeight="false" outlineLevel="0" collapsed="false">
      <c r="A16" s="22" t="s">
        <v>17</v>
      </c>
      <c r="B16" s="23" t="s">
        <v>63</v>
      </c>
      <c r="C16" s="24" t="s">
        <v>123</v>
      </c>
      <c r="D16" s="24" t="s">
        <v>124</v>
      </c>
      <c r="E16" s="24" t="s">
        <v>66</v>
      </c>
      <c r="F16" s="24" t="s">
        <v>125</v>
      </c>
      <c r="G16" s="23" t="s">
        <v>125</v>
      </c>
      <c r="H16" s="23" t="s">
        <v>126</v>
      </c>
      <c r="I16" s="24" t="s">
        <v>70</v>
      </c>
      <c r="J16" s="24" t="s">
        <v>127</v>
      </c>
      <c r="K16" s="24"/>
      <c r="L16" s="24" t="s">
        <v>71</v>
      </c>
      <c r="M16" s="24" t="s">
        <v>72</v>
      </c>
      <c r="N16" s="24" t="s">
        <v>72</v>
      </c>
      <c r="O16" s="24" t="s">
        <v>73</v>
      </c>
      <c r="P16" s="24" t="s">
        <v>74</v>
      </c>
      <c r="Q16" s="23"/>
      <c r="R16" s="24" t="s">
        <v>128</v>
      </c>
    </row>
    <row r="17" customFormat="false" ht="23.85" hidden="false" customHeight="false" outlineLevel="0" collapsed="false">
      <c r="A17" s="22" t="s">
        <v>17</v>
      </c>
      <c r="B17" s="23" t="s">
        <v>63</v>
      </c>
      <c r="C17" s="24" t="s">
        <v>123</v>
      </c>
      <c r="D17" s="24" t="s">
        <v>84</v>
      </c>
      <c r="E17" s="24" t="s">
        <v>66</v>
      </c>
      <c r="F17" s="24" t="s">
        <v>129</v>
      </c>
      <c r="G17" s="23" t="s">
        <v>129</v>
      </c>
      <c r="H17" s="23" t="s">
        <v>126</v>
      </c>
      <c r="I17" s="24" t="s">
        <v>70</v>
      </c>
      <c r="J17" s="24" t="s">
        <v>127</v>
      </c>
      <c r="K17" s="24"/>
      <c r="L17" s="24" t="s">
        <v>71</v>
      </c>
      <c r="M17" s="24" t="s">
        <v>72</v>
      </c>
      <c r="N17" s="24" t="s">
        <v>72</v>
      </c>
      <c r="O17" s="24" t="s">
        <v>73</v>
      </c>
      <c r="P17" s="24" t="s">
        <v>74</v>
      </c>
      <c r="Q17" s="23"/>
      <c r="R17" s="24" t="s">
        <v>130</v>
      </c>
    </row>
    <row r="18" customFormat="false" ht="23.85" hidden="false" customHeight="false" outlineLevel="0" collapsed="false">
      <c r="A18" s="22" t="s">
        <v>17</v>
      </c>
      <c r="B18" s="23" t="s">
        <v>63</v>
      </c>
      <c r="C18" s="24" t="s">
        <v>123</v>
      </c>
      <c r="D18" s="24" t="s">
        <v>84</v>
      </c>
      <c r="E18" s="24" t="s">
        <v>66</v>
      </c>
      <c r="F18" s="24" t="s">
        <v>131</v>
      </c>
      <c r="G18" s="23" t="s">
        <v>131</v>
      </c>
      <c r="H18" s="23" t="s">
        <v>126</v>
      </c>
      <c r="I18" s="24" t="s">
        <v>70</v>
      </c>
      <c r="J18" s="24" t="s">
        <v>127</v>
      </c>
      <c r="K18" s="24"/>
      <c r="L18" s="24" t="s">
        <v>71</v>
      </c>
      <c r="M18" s="24" t="s">
        <v>72</v>
      </c>
      <c r="N18" s="24" t="s">
        <v>72</v>
      </c>
      <c r="O18" s="24" t="s">
        <v>73</v>
      </c>
      <c r="P18" s="24" t="s">
        <v>74</v>
      </c>
      <c r="Q18" s="23"/>
      <c r="R18" s="24" t="s">
        <v>132</v>
      </c>
    </row>
    <row r="19" customFormat="false" ht="23.85" hidden="false" customHeight="false" outlineLevel="0" collapsed="false">
      <c r="A19" s="22" t="s">
        <v>17</v>
      </c>
      <c r="B19" s="23" t="s">
        <v>63</v>
      </c>
      <c r="C19" s="24" t="s">
        <v>133</v>
      </c>
      <c r="D19" s="24" t="s">
        <v>134</v>
      </c>
      <c r="E19" s="24" t="s">
        <v>135</v>
      </c>
      <c r="F19" s="24" t="s">
        <v>136</v>
      </c>
      <c r="G19" s="23" t="s">
        <v>137</v>
      </c>
      <c r="H19" s="23" t="s">
        <v>138</v>
      </c>
      <c r="I19" s="24" t="s">
        <v>70</v>
      </c>
      <c r="J19" s="24"/>
      <c r="K19" s="24"/>
      <c r="L19" s="24" t="s">
        <v>71</v>
      </c>
      <c r="M19" s="24" t="s">
        <v>72</v>
      </c>
      <c r="N19" s="24" t="s">
        <v>72</v>
      </c>
      <c r="O19" s="24" t="s">
        <v>73</v>
      </c>
      <c r="P19" s="24"/>
      <c r="Q19" s="23"/>
      <c r="R19" s="24" t="s">
        <v>139</v>
      </c>
    </row>
    <row r="20" customFormat="false" ht="23.85" hidden="false" customHeight="false" outlineLevel="0" collapsed="false">
      <c r="A20" s="22" t="s">
        <v>17</v>
      </c>
      <c r="B20" s="23" t="s">
        <v>63</v>
      </c>
      <c r="C20" s="24" t="s">
        <v>133</v>
      </c>
      <c r="D20" s="24" t="s">
        <v>134</v>
      </c>
      <c r="E20" s="24" t="s">
        <v>135</v>
      </c>
      <c r="F20" s="24" t="s">
        <v>140</v>
      </c>
      <c r="G20" s="23" t="s">
        <v>141</v>
      </c>
      <c r="H20" s="23" t="s">
        <v>142</v>
      </c>
      <c r="I20" s="24" t="s">
        <v>70</v>
      </c>
      <c r="J20" s="24"/>
      <c r="K20" s="24"/>
      <c r="L20" s="24" t="s">
        <v>71</v>
      </c>
      <c r="M20" s="24" t="s">
        <v>72</v>
      </c>
      <c r="N20" s="24" t="s">
        <v>72</v>
      </c>
      <c r="O20" s="24" t="s">
        <v>73</v>
      </c>
      <c r="P20" s="24"/>
      <c r="Q20" s="23"/>
      <c r="R20" s="24" t="s">
        <v>143</v>
      </c>
    </row>
    <row r="21" customFormat="false" ht="23.85" hidden="false" customHeight="false" outlineLevel="0" collapsed="false">
      <c r="A21" s="22" t="s">
        <v>17</v>
      </c>
      <c r="B21" s="23" t="s">
        <v>63</v>
      </c>
      <c r="C21" s="24" t="s">
        <v>133</v>
      </c>
      <c r="D21" s="24" t="s">
        <v>144</v>
      </c>
      <c r="E21" s="24" t="s">
        <v>135</v>
      </c>
      <c r="F21" s="24" t="s">
        <v>145</v>
      </c>
      <c r="G21" s="23" t="s">
        <v>146</v>
      </c>
      <c r="H21" s="23" t="s">
        <v>138</v>
      </c>
      <c r="I21" s="24" t="s">
        <v>70</v>
      </c>
      <c r="J21" s="24"/>
      <c r="K21" s="24"/>
      <c r="L21" s="24" t="s">
        <v>71</v>
      </c>
      <c r="M21" s="24" t="s">
        <v>72</v>
      </c>
      <c r="N21" s="24" t="s">
        <v>72</v>
      </c>
      <c r="O21" s="24" t="s">
        <v>73</v>
      </c>
      <c r="P21" s="24" t="s">
        <v>147</v>
      </c>
      <c r="Q21" s="23"/>
      <c r="R21" s="24" t="s">
        <v>148</v>
      </c>
    </row>
    <row r="22" customFormat="false" ht="23.85" hidden="false" customHeight="false" outlineLevel="0" collapsed="false">
      <c r="A22" s="22" t="s">
        <v>17</v>
      </c>
      <c r="B22" s="23" t="s">
        <v>63</v>
      </c>
      <c r="C22" s="24" t="s">
        <v>149</v>
      </c>
      <c r="D22" s="24" t="s">
        <v>150</v>
      </c>
      <c r="E22" s="24" t="s">
        <v>151</v>
      </c>
      <c r="F22" s="24" t="s">
        <v>152</v>
      </c>
      <c r="G22" s="23" t="s">
        <v>153</v>
      </c>
      <c r="H22" s="23"/>
      <c r="I22" s="24" t="s">
        <v>154</v>
      </c>
      <c r="J22" s="24"/>
      <c r="K22" s="24"/>
      <c r="L22" s="24" t="s">
        <v>71</v>
      </c>
      <c r="M22" s="24" t="s">
        <v>72</v>
      </c>
      <c r="N22" s="24" t="s">
        <v>72</v>
      </c>
      <c r="O22" s="24" t="s">
        <v>73</v>
      </c>
      <c r="P22" s="24" t="s">
        <v>155</v>
      </c>
      <c r="Q22" s="23"/>
      <c r="R22" s="24" t="s">
        <v>156</v>
      </c>
    </row>
    <row r="23" customFormat="false" ht="23.85" hidden="false" customHeight="false" outlineLevel="0" collapsed="false">
      <c r="A23" s="22" t="s">
        <v>17</v>
      </c>
      <c r="B23" s="23" t="s">
        <v>63</v>
      </c>
      <c r="C23" s="24" t="s">
        <v>157</v>
      </c>
      <c r="D23" s="24" t="s">
        <v>158</v>
      </c>
      <c r="E23" s="24" t="s">
        <v>151</v>
      </c>
      <c r="F23" s="24" t="s">
        <v>159</v>
      </c>
      <c r="G23" s="23" t="s">
        <v>160</v>
      </c>
      <c r="H23" s="23" t="s">
        <v>161</v>
      </c>
      <c r="I23" s="24" t="s">
        <v>70</v>
      </c>
      <c r="J23" s="24"/>
      <c r="K23" s="24"/>
      <c r="L23" s="24" t="s">
        <v>71</v>
      </c>
      <c r="M23" s="24" t="s">
        <v>72</v>
      </c>
      <c r="N23" s="24" t="s">
        <v>72</v>
      </c>
      <c r="O23" s="24" t="s">
        <v>73</v>
      </c>
      <c r="P23" s="24" t="s">
        <v>74</v>
      </c>
      <c r="Q23" s="23"/>
      <c r="R23" s="24" t="s">
        <v>162</v>
      </c>
    </row>
    <row r="24" customFormat="false" ht="23.85" hidden="false" customHeight="false" outlineLevel="0" collapsed="false">
      <c r="A24" s="22" t="s">
        <v>17</v>
      </c>
      <c r="B24" s="23" t="s">
        <v>63</v>
      </c>
      <c r="C24" s="24" t="s">
        <v>163</v>
      </c>
      <c r="D24" s="24" t="s">
        <v>134</v>
      </c>
      <c r="E24" s="24" t="s">
        <v>135</v>
      </c>
      <c r="F24" s="24" t="s">
        <v>164</v>
      </c>
      <c r="G24" s="23" t="s">
        <v>165</v>
      </c>
      <c r="H24" s="23" t="s">
        <v>166</v>
      </c>
      <c r="I24" s="24" t="s">
        <v>70</v>
      </c>
      <c r="J24" s="24"/>
      <c r="K24" s="24"/>
      <c r="L24" s="24" t="s">
        <v>71</v>
      </c>
      <c r="M24" s="24" t="s">
        <v>72</v>
      </c>
      <c r="N24" s="24" t="s">
        <v>72</v>
      </c>
      <c r="O24" s="24" t="s">
        <v>73</v>
      </c>
      <c r="P24" s="24"/>
      <c r="Q24" s="23"/>
      <c r="R24" s="24" t="s">
        <v>167</v>
      </c>
    </row>
    <row r="25" customFormat="false" ht="23.85" hidden="false" customHeight="false" outlineLevel="0" collapsed="false">
      <c r="A25" s="22" t="s">
        <v>17</v>
      </c>
      <c r="B25" s="23" t="s">
        <v>63</v>
      </c>
      <c r="C25" s="24" t="s">
        <v>163</v>
      </c>
      <c r="D25" s="24" t="s">
        <v>91</v>
      </c>
      <c r="E25" s="24" t="s">
        <v>66</v>
      </c>
      <c r="F25" s="24" t="s">
        <v>168</v>
      </c>
      <c r="G25" s="23" t="s">
        <v>169</v>
      </c>
      <c r="H25" s="23" t="s">
        <v>170</v>
      </c>
      <c r="I25" s="24" t="s">
        <v>70</v>
      </c>
      <c r="J25" s="24"/>
      <c r="K25" s="24"/>
      <c r="L25" s="24" t="s">
        <v>71</v>
      </c>
      <c r="M25" s="24" t="s">
        <v>72</v>
      </c>
      <c r="N25" s="24" t="s">
        <v>72</v>
      </c>
      <c r="O25" s="24" t="s">
        <v>73</v>
      </c>
      <c r="P25" s="24" t="s">
        <v>74</v>
      </c>
      <c r="Q25" s="23"/>
      <c r="R25" s="24" t="s">
        <v>171</v>
      </c>
    </row>
    <row r="26" customFormat="false" ht="23.85" hidden="false" customHeight="false" outlineLevel="0" collapsed="false">
      <c r="A26" s="22" t="s">
        <v>17</v>
      </c>
      <c r="B26" s="23" t="s">
        <v>63</v>
      </c>
      <c r="C26" s="24" t="s">
        <v>163</v>
      </c>
      <c r="D26" s="24" t="s">
        <v>91</v>
      </c>
      <c r="E26" s="24" t="s">
        <v>66</v>
      </c>
      <c r="F26" s="24" t="s">
        <v>172</v>
      </c>
      <c r="G26" s="23" t="s">
        <v>173</v>
      </c>
      <c r="H26" s="23" t="s">
        <v>174</v>
      </c>
      <c r="I26" s="24" t="s">
        <v>70</v>
      </c>
      <c r="J26" s="24"/>
      <c r="K26" s="24"/>
      <c r="L26" s="24" t="s">
        <v>71</v>
      </c>
      <c r="M26" s="24" t="s">
        <v>72</v>
      </c>
      <c r="N26" s="24" t="s">
        <v>72</v>
      </c>
      <c r="O26" s="24" t="s">
        <v>73</v>
      </c>
      <c r="P26" s="24" t="s">
        <v>74</v>
      </c>
      <c r="Q26" s="23"/>
      <c r="R26" s="24" t="s">
        <v>175</v>
      </c>
    </row>
    <row r="27" customFormat="false" ht="23.85" hidden="false" customHeight="false" outlineLevel="0" collapsed="false">
      <c r="A27" s="22" t="s">
        <v>17</v>
      </c>
      <c r="B27" s="23" t="s">
        <v>63</v>
      </c>
      <c r="C27" s="24" t="s">
        <v>176</v>
      </c>
      <c r="D27" s="24" t="s">
        <v>150</v>
      </c>
      <c r="E27" s="24" t="s">
        <v>151</v>
      </c>
      <c r="F27" s="24" t="s">
        <v>177</v>
      </c>
      <c r="G27" s="23" t="s">
        <v>178</v>
      </c>
      <c r="H27" s="23" t="s">
        <v>179</v>
      </c>
      <c r="I27" s="24" t="s">
        <v>70</v>
      </c>
      <c r="J27" s="24"/>
      <c r="K27" s="24"/>
      <c r="L27" s="24" t="s">
        <v>71</v>
      </c>
      <c r="M27" s="24" t="s">
        <v>72</v>
      </c>
      <c r="N27" s="24" t="s">
        <v>72</v>
      </c>
      <c r="O27" s="24" t="s">
        <v>73</v>
      </c>
      <c r="P27" s="24" t="s">
        <v>155</v>
      </c>
      <c r="Q27" s="23"/>
      <c r="R27" s="24" t="s">
        <v>180</v>
      </c>
    </row>
    <row r="28" customFormat="false" ht="23.85" hidden="false" customHeight="false" outlineLevel="0" collapsed="false">
      <c r="A28" s="22" t="s">
        <v>17</v>
      </c>
      <c r="B28" s="23" t="s">
        <v>63</v>
      </c>
      <c r="C28" s="24" t="s">
        <v>176</v>
      </c>
      <c r="D28" s="24" t="s">
        <v>65</v>
      </c>
      <c r="E28" s="24" t="s">
        <v>66</v>
      </c>
      <c r="F28" s="24" t="s">
        <v>181</v>
      </c>
      <c r="G28" s="23" t="s">
        <v>182</v>
      </c>
      <c r="H28" s="23" t="s">
        <v>174</v>
      </c>
      <c r="I28" s="24" t="s">
        <v>70</v>
      </c>
      <c r="J28" s="24"/>
      <c r="K28" s="24"/>
      <c r="L28" s="24" t="s">
        <v>71</v>
      </c>
      <c r="M28" s="24" t="s">
        <v>72</v>
      </c>
      <c r="N28" s="24" t="s">
        <v>72</v>
      </c>
      <c r="O28" s="24" t="s">
        <v>73</v>
      </c>
      <c r="P28" s="24" t="s">
        <v>74</v>
      </c>
      <c r="Q28" s="23"/>
      <c r="R28" s="24" t="s">
        <v>183</v>
      </c>
    </row>
    <row r="29" customFormat="false" ht="23.85" hidden="false" customHeight="false" outlineLevel="0" collapsed="false">
      <c r="A29" s="22" t="s">
        <v>17</v>
      </c>
      <c r="B29" s="23" t="s">
        <v>63</v>
      </c>
      <c r="C29" s="24" t="s">
        <v>184</v>
      </c>
      <c r="D29" s="24" t="s">
        <v>150</v>
      </c>
      <c r="E29" s="24" t="s">
        <v>151</v>
      </c>
      <c r="F29" s="24" t="s">
        <v>185</v>
      </c>
      <c r="G29" s="23" t="s">
        <v>186</v>
      </c>
      <c r="H29" s="23" t="s">
        <v>187</v>
      </c>
      <c r="I29" s="24" t="s">
        <v>70</v>
      </c>
      <c r="J29" s="24"/>
      <c r="K29" s="24"/>
      <c r="L29" s="24" t="s">
        <v>71</v>
      </c>
      <c r="M29" s="24" t="s">
        <v>72</v>
      </c>
      <c r="N29" s="24" t="s">
        <v>72</v>
      </c>
      <c r="O29" s="24" t="s">
        <v>73</v>
      </c>
      <c r="P29" s="24" t="s">
        <v>155</v>
      </c>
      <c r="Q29" s="23"/>
      <c r="R29" s="24" t="s">
        <v>188</v>
      </c>
    </row>
    <row r="30" customFormat="false" ht="23.85" hidden="false" customHeight="false" outlineLevel="0" collapsed="false">
      <c r="A30" s="22" t="s">
        <v>17</v>
      </c>
      <c r="B30" s="23" t="s">
        <v>63</v>
      </c>
      <c r="C30" s="24" t="s">
        <v>184</v>
      </c>
      <c r="D30" s="24" t="s">
        <v>158</v>
      </c>
      <c r="E30" s="24" t="s">
        <v>151</v>
      </c>
      <c r="F30" s="24" t="s">
        <v>189</v>
      </c>
      <c r="G30" s="23" t="s">
        <v>190</v>
      </c>
      <c r="H30" s="23" t="s">
        <v>187</v>
      </c>
      <c r="I30" s="24" t="s">
        <v>70</v>
      </c>
      <c r="J30" s="24"/>
      <c r="K30" s="24"/>
      <c r="L30" s="24" t="s">
        <v>71</v>
      </c>
      <c r="M30" s="24" t="s">
        <v>72</v>
      </c>
      <c r="N30" s="24" t="s">
        <v>72</v>
      </c>
      <c r="O30" s="24" t="s">
        <v>73</v>
      </c>
      <c r="P30" s="24" t="s">
        <v>74</v>
      </c>
      <c r="Q30" s="23"/>
      <c r="R30" s="24" t="s">
        <v>191</v>
      </c>
    </row>
    <row r="31" customFormat="false" ht="23.85" hidden="false" customHeight="false" outlineLevel="0" collapsed="false">
      <c r="A31" s="22" t="s">
        <v>17</v>
      </c>
      <c r="B31" s="23" t="s">
        <v>63</v>
      </c>
      <c r="C31" s="24" t="s">
        <v>184</v>
      </c>
      <c r="D31" s="24" t="s">
        <v>158</v>
      </c>
      <c r="E31" s="24" t="s">
        <v>151</v>
      </c>
      <c r="F31" s="24" t="s">
        <v>192</v>
      </c>
      <c r="G31" s="23" t="s">
        <v>193</v>
      </c>
      <c r="H31" s="23" t="s">
        <v>194</v>
      </c>
      <c r="I31" s="24" t="s">
        <v>70</v>
      </c>
      <c r="J31" s="24"/>
      <c r="K31" s="24"/>
      <c r="L31" s="24" t="s">
        <v>71</v>
      </c>
      <c r="M31" s="24" t="s">
        <v>72</v>
      </c>
      <c r="N31" s="24" t="s">
        <v>72</v>
      </c>
      <c r="O31" s="24" t="s">
        <v>73</v>
      </c>
      <c r="P31" s="24" t="s">
        <v>74</v>
      </c>
      <c r="Q31" s="23"/>
      <c r="R31" s="24" t="s">
        <v>195</v>
      </c>
    </row>
    <row r="32" customFormat="false" ht="23.85" hidden="false" customHeight="false" outlineLevel="0" collapsed="false">
      <c r="A32" s="22" t="s">
        <v>17</v>
      </c>
      <c r="B32" s="23" t="s">
        <v>63</v>
      </c>
      <c r="C32" s="24" t="s">
        <v>184</v>
      </c>
      <c r="D32" s="24" t="s">
        <v>84</v>
      </c>
      <c r="E32" s="24" t="s">
        <v>66</v>
      </c>
      <c r="F32" s="24" t="s">
        <v>196</v>
      </c>
      <c r="G32" s="23" t="s">
        <v>197</v>
      </c>
      <c r="H32" s="23" t="s">
        <v>194</v>
      </c>
      <c r="I32" s="24" t="s">
        <v>70</v>
      </c>
      <c r="J32" s="24"/>
      <c r="K32" s="24"/>
      <c r="L32" s="24" t="s">
        <v>71</v>
      </c>
      <c r="M32" s="24" t="s">
        <v>72</v>
      </c>
      <c r="N32" s="24" t="s">
        <v>72</v>
      </c>
      <c r="O32" s="24" t="s">
        <v>73</v>
      </c>
      <c r="P32" s="24" t="s">
        <v>74</v>
      </c>
      <c r="Q32" s="23"/>
      <c r="R32" s="24" t="s">
        <v>198</v>
      </c>
    </row>
    <row r="33" customFormat="false" ht="23.85" hidden="false" customHeight="false" outlineLevel="0" collapsed="false">
      <c r="A33" s="22" t="s">
        <v>17</v>
      </c>
      <c r="B33" s="23" t="s">
        <v>63</v>
      </c>
      <c r="C33" s="24" t="s">
        <v>184</v>
      </c>
      <c r="D33" s="24" t="s">
        <v>84</v>
      </c>
      <c r="E33" s="24" t="s">
        <v>66</v>
      </c>
      <c r="F33" s="24" t="s">
        <v>199</v>
      </c>
      <c r="G33" s="23" t="s">
        <v>200</v>
      </c>
      <c r="H33" s="23" t="s">
        <v>201</v>
      </c>
      <c r="I33" s="24" t="s">
        <v>70</v>
      </c>
      <c r="J33" s="24"/>
      <c r="K33" s="24"/>
      <c r="L33" s="24" t="s">
        <v>71</v>
      </c>
      <c r="M33" s="24" t="s">
        <v>72</v>
      </c>
      <c r="N33" s="24" t="s">
        <v>72</v>
      </c>
      <c r="O33" s="24" t="s">
        <v>73</v>
      </c>
      <c r="P33" s="24" t="s">
        <v>74</v>
      </c>
      <c r="Q33" s="23"/>
      <c r="R33" s="24" t="s">
        <v>202</v>
      </c>
    </row>
    <row r="34" customFormat="false" ht="23.85" hidden="false" customHeight="false" outlineLevel="0" collapsed="false">
      <c r="A34" s="22" t="s">
        <v>17</v>
      </c>
      <c r="B34" s="23" t="s">
        <v>63</v>
      </c>
      <c r="C34" s="24" t="s">
        <v>184</v>
      </c>
      <c r="D34" s="24" t="s">
        <v>84</v>
      </c>
      <c r="E34" s="24" t="s">
        <v>66</v>
      </c>
      <c r="F34" s="24" t="s">
        <v>199</v>
      </c>
      <c r="G34" s="23" t="s">
        <v>200</v>
      </c>
      <c r="H34" s="23" t="s">
        <v>201</v>
      </c>
      <c r="I34" s="24" t="s">
        <v>70</v>
      </c>
      <c r="J34" s="24"/>
      <c r="K34" s="24"/>
      <c r="L34" s="24" t="s">
        <v>71</v>
      </c>
      <c r="M34" s="24" t="s">
        <v>72</v>
      </c>
      <c r="N34" s="24" t="s">
        <v>72</v>
      </c>
      <c r="O34" s="24" t="s">
        <v>73</v>
      </c>
      <c r="P34" s="24" t="s">
        <v>74</v>
      </c>
      <c r="Q34" s="23"/>
      <c r="R34" s="24" t="s">
        <v>203</v>
      </c>
    </row>
    <row r="35" customFormat="false" ht="23.85" hidden="false" customHeight="false" outlineLevel="0" collapsed="false">
      <c r="A35" s="22" t="s">
        <v>17</v>
      </c>
      <c r="B35" s="23" t="s">
        <v>63</v>
      </c>
      <c r="C35" s="24" t="s">
        <v>184</v>
      </c>
      <c r="D35" s="24" t="s">
        <v>104</v>
      </c>
      <c r="E35" s="24" t="s">
        <v>66</v>
      </c>
      <c r="F35" s="24" t="s">
        <v>204</v>
      </c>
      <c r="G35" s="23" t="s">
        <v>205</v>
      </c>
      <c r="H35" s="23" t="s">
        <v>206</v>
      </c>
      <c r="I35" s="24" t="s">
        <v>70</v>
      </c>
      <c r="J35" s="24"/>
      <c r="K35" s="24"/>
      <c r="L35" s="24" t="s">
        <v>71</v>
      </c>
      <c r="M35" s="24" t="s">
        <v>72</v>
      </c>
      <c r="N35" s="24" t="s">
        <v>72</v>
      </c>
      <c r="O35" s="24" t="s">
        <v>73</v>
      </c>
      <c r="P35" s="24" t="s">
        <v>74</v>
      </c>
      <c r="Q35" s="23"/>
      <c r="R35" s="24" t="s">
        <v>207</v>
      </c>
    </row>
    <row r="36" customFormat="false" ht="23.85" hidden="false" customHeight="false" outlineLevel="0" collapsed="false">
      <c r="A36" s="22" t="s">
        <v>17</v>
      </c>
      <c r="B36" s="23" t="s">
        <v>63</v>
      </c>
      <c r="C36" s="24" t="s">
        <v>184</v>
      </c>
      <c r="D36" s="24" t="s">
        <v>104</v>
      </c>
      <c r="E36" s="24" t="s">
        <v>66</v>
      </c>
      <c r="F36" s="24" t="s">
        <v>208</v>
      </c>
      <c r="G36" s="23" t="s">
        <v>209</v>
      </c>
      <c r="H36" s="23" t="s">
        <v>206</v>
      </c>
      <c r="I36" s="24" t="s">
        <v>70</v>
      </c>
      <c r="J36" s="24"/>
      <c r="K36" s="24"/>
      <c r="L36" s="24" t="s">
        <v>71</v>
      </c>
      <c r="M36" s="24" t="s">
        <v>72</v>
      </c>
      <c r="N36" s="24" t="s">
        <v>72</v>
      </c>
      <c r="O36" s="24" t="s">
        <v>73</v>
      </c>
      <c r="P36" s="24" t="s">
        <v>74</v>
      </c>
      <c r="Q36" s="23"/>
      <c r="R36" s="24" t="s">
        <v>210</v>
      </c>
    </row>
    <row r="37" customFormat="false" ht="23.85" hidden="false" customHeight="false" outlineLevel="0" collapsed="false">
      <c r="A37" s="22" t="s">
        <v>17</v>
      </c>
      <c r="B37" s="23" t="s">
        <v>63</v>
      </c>
      <c r="C37" s="24" t="s">
        <v>184</v>
      </c>
      <c r="D37" s="24" t="s">
        <v>104</v>
      </c>
      <c r="E37" s="24" t="s">
        <v>66</v>
      </c>
      <c r="F37" s="24" t="s">
        <v>208</v>
      </c>
      <c r="G37" s="23" t="s">
        <v>209</v>
      </c>
      <c r="H37" s="23" t="s">
        <v>206</v>
      </c>
      <c r="I37" s="24" t="s">
        <v>70</v>
      </c>
      <c r="J37" s="24"/>
      <c r="K37" s="24"/>
      <c r="L37" s="24" t="s">
        <v>71</v>
      </c>
      <c r="M37" s="24" t="s">
        <v>72</v>
      </c>
      <c r="N37" s="24" t="s">
        <v>72</v>
      </c>
      <c r="O37" s="24" t="s">
        <v>73</v>
      </c>
      <c r="P37" s="24" t="s">
        <v>74</v>
      </c>
      <c r="Q37" s="23"/>
      <c r="R37" s="24" t="s">
        <v>211</v>
      </c>
    </row>
    <row r="38" customFormat="false" ht="23.85" hidden="false" customHeight="false" outlineLevel="0" collapsed="false">
      <c r="A38" s="22" t="s">
        <v>17</v>
      </c>
      <c r="B38" s="23" t="s">
        <v>63</v>
      </c>
      <c r="C38" s="24" t="s">
        <v>184</v>
      </c>
      <c r="D38" s="24" t="s">
        <v>104</v>
      </c>
      <c r="E38" s="24" t="s">
        <v>66</v>
      </c>
      <c r="F38" s="24" t="s">
        <v>212</v>
      </c>
      <c r="G38" s="23" t="s">
        <v>213</v>
      </c>
      <c r="H38" s="23" t="s">
        <v>206</v>
      </c>
      <c r="I38" s="24" t="s">
        <v>70</v>
      </c>
      <c r="J38" s="24"/>
      <c r="K38" s="24"/>
      <c r="L38" s="24" t="s">
        <v>71</v>
      </c>
      <c r="M38" s="24" t="s">
        <v>72</v>
      </c>
      <c r="N38" s="24" t="s">
        <v>72</v>
      </c>
      <c r="O38" s="24" t="s">
        <v>73</v>
      </c>
      <c r="P38" s="24" t="s">
        <v>74</v>
      </c>
      <c r="Q38" s="23"/>
      <c r="R38" s="24" t="s">
        <v>214</v>
      </c>
    </row>
    <row r="39" customFormat="false" ht="23.85" hidden="false" customHeight="false" outlineLevel="0" collapsed="false">
      <c r="A39" s="22" t="s">
        <v>17</v>
      </c>
      <c r="B39" s="23" t="s">
        <v>63</v>
      </c>
      <c r="C39" s="24" t="s">
        <v>184</v>
      </c>
      <c r="D39" s="24" t="s">
        <v>104</v>
      </c>
      <c r="E39" s="24" t="s">
        <v>66</v>
      </c>
      <c r="F39" s="24" t="s">
        <v>212</v>
      </c>
      <c r="G39" s="23" t="s">
        <v>213</v>
      </c>
      <c r="H39" s="23"/>
      <c r="I39" s="24" t="s">
        <v>154</v>
      </c>
      <c r="J39" s="24"/>
      <c r="K39" s="24"/>
      <c r="L39" s="24" t="s">
        <v>71</v>
      </c>
      <c r="M39" s="24" t="s">
        <v>72</v>
      </c>
      <c r="N39" s="24" t="s">
        <v>72</v>
      </c>
      <c r="O39" s="24" t="s">
        <v>73</v>
      </c>
      <c r="P39" s="24" t="s">
        <v>74</v>
      </c>
      <c r="Q39" s="23"/>
      <c r="R39" s="24" t="s">
        <v>215</v>
      </c>
    </row>
    <row r="40" customFormat="false" ht="23.85" hidden="false" customHeight="false" outlineLevel="0" collapsed="false">
      <c r="A40" s="22" t="s">
        <v>17</v>
      </c>
      <c r="B40" s="23" t="s">
        <v>63</v>
      </c>
      <c r="C40" s="24" t="s">
        <v>184</v>
      </c>
      <c r="D40" s="24" t="s">
        <v>111</v>
      </c>
      <c r="E40" s="24" t="s">
        <v>112</v>
      </c>
      <c r="F40" s="24" t="s">
        <v>216</v>
      </c>
      <c r="G40" s="23" t="s">
        <v>217</v>
      </c>
      <c r="H40" s="23" t="s">
        <v>206</v>
      </c>
      <c r="I40" s="24" t="s">
        <v>70</v>
      </c>
      <c r="J40" s="24"/>
      <c r="K40" s="24"/>
      <c r="L40" s="24" t="s">
        <v>71</v>
      </c>
      <c r="M40" s="24" t="s">
        <v>72</v>
      </c>
      <c r="N40" s="24" t="s">
        <v>72</v>
      </c>
      <c r="O40" s="24" t="s">
        <v>73</v>
      </c>
      <c r="P40" s="24" t="s">
        <v>74</v>
      </c>
      <c r="Q40" s="23"/>
      <c r="R40" s="24" t="s">
        <v>218</v>
      </c>
    </row>
    <row r="41" customFormat="false" ht="23.85" hidden="false" customHeight="false" outlineLevel="0" collapsed="false">
      <c r="A41" s="22" t="s">
        <v>17</v>
      </c>
      <c r="B41" s="23" t="s">
        <v>63</v>
      </c>
      <c r="C41" s="24" t="s">
        <v>219</v>
      </c>
      <c r="D41" s="24" t="s">
        <v>220</v>
      </c>
      <c r="E41" s="24" t="s">
        <v>151</v>
      </c>
      <c r="F41" s="24" t="s">
        <v>221</v>
      </c>
      <c r="G41" s="23" t="s">
        <v>222</v>
      </c>
      <c r="H41" s="23"/>
      <c r="I41" s="24" t="s">
        <v>154</v>
      </c>
      <c r="J41" s="24"/>
      <c r="K41" s="24"/>
      <c r="L41" s="24" t="s">
        <v>71</v>
      </c>
      <c r="M41" s="24" t="s">
        <v>72</v>
      </c>
      <c r="N41" s="24" t="s">
        <v>72</v>
      </c>
      <c r="O41" s="24" t="s">
        <v>73</v>
      </c>
      <c r="P41" s="24" t="s">
        <v>74</v>
      </c>
      <c r="Q41" s="23"/>
      <c r="R41" s="24" t="s">
        <v>223</v>
      </c>
    </row>
    <row r="42" customFormat="false" ht="23.85" hidden="false" customHeight="false" outlineLevel="0" collapsed="false">
      <c r="A42" s="22" t="s">
        <v>17</v>
      </c>
      <c r="B42" s="23" t="s">
        <v>63</v>
      </c>
      <c r="C42" s="24" t="s">
        <v>224</v>
      </c>
      <c r="D42" s="24" t="s">
        <v>124</v>
      </c>
      <c r="E42" s="24" t="s">
        <v>66</v>
      </c>
      <c r="F42" s="24" t="s">
        <v>225</v>
      </c>
      <c r="G42" s="23" t="s">
        <v>226</v>
      </c>
      <c r="H42" s="23" t="s">
        <v>227</v>
      </c>
      <c r="I42" s="24" t="s">
        <v>70</v>
      </c>
      <c r="J42" s="24"/>
      <c r="K42" s="24"/>
      <c r="L42" s="24" t="s">
        <v>71</v>
      </c>
      <c r="M42" s="24" t="s">
        <v>72</v>
      </c>
      <c r="N42" s="24" t="s">
        <v>72</v>
      </c>
      <c r="O42" s="24" t="s">
        <v>73</v>
      </c>
      <c r="P42" s="24" t="s">
        <v>74</v>
      </c>
      <c r="Q42" s="23"/>
      <c r="R42" s="24" t="s">
        <v>228</v>
      </c>
    </row>
    <row r="43" customFormat="false" ht="23.85" hidden="false" customHeight="false" outlineLevel="0" collapsed="false">
      <c r="A43" s="22" t="s">
        <v>17</v>
      </c>
      <c r="B43" s="23" t="s">
        <v>63</v>
      </c>
      <c r="C43" s="24" t="s">
        <v>229</v>
      </c>
      <c r="D43" s="24" t="s">
        <v>65</v>
      </c>
      <c r="E43" s="24" t="s">
        <v>66</v>
      </c>
      <c r="F43" s="24" t="s">
        <v>230</v>
      </c>
      <c r="G43" s="23" t="s">
        <v>231</v>
      </c>
      <c r="H43" s="23"/>
      <c r="I43" s="24" t="s">
        <v>154</v>
      </c>
      <c r="J43" s="24"/>
      <c r="K43" s="24"/>
      <c r="L43" s="24" t="s">
        <v>71</v>
      </c>
      <c r="M43" s="24" t="s">
        <v>72</v>
      </c>
      <c r="N43" s="24" t="s">
        <v>72</v>
      </c>
      <c r="O43" s="24" t="s">
        <v>73</v>
      </c>
      <c r="P43" s="24" t="s">
        <v>74</v>
      </c>
      <c r="Q43" s="23"/>
      <c r="R43" s="24" t="s">
        <v>232</v>
      </c>
    </row>
    <row r="44" customFormat="false" ht="23.85" hidden="false" customHeight="false" outlineLevel="0" collapsed="false">
      <c r="A44" s="22" t="s">
        <v>17</v>
      </c>
      <c r="B44" s="23" t="s">
        <v>63</v>
      </c>
      <c r="C44" s="24" t="s">
        <v>229</v>
      </c>
      <c r="D44" s="24" t="s">
        <v>104</v>
      </c>
      <c r="E44" s="24" t="s">
        <v>66</v>
      </c>
      <c r="F44" s="24" t="s">
        <v>233</v>
      </c>
      <c r="G44" s="23" t="s">
        <v>234</v>
      </c>
      <c r="H44" s="23" t="s">
        <v>235</v>
      </c>
      <c r="I44" s="24" t="s">
        <v>70</v>
      </c>
      <c r="J44" s="24"/>
      <c r="K44" s="24"/>
      <c r="L44" s="24" t="s">
        <v>71</v>
      </c>
      <c r="M44" s="24" t="s">
        <v>72</v>
      </c>
      <c r="N44" s="24" t="s">
        <v>72</v>
      </c>
      <c r="O44" s="24" t="s">
        <v>73</v>
      </c>
      <c r="P44" s="24" t="s">
        <v>74</v>
      </c>
      <c r="Q44" s="23"/>
      <c r="R44" s="24" t="s">
        <v>236</v>
      </c>
    </row>
    <row r="45" customFormat="false" ht="23.85" hidden="false" customHeight="false" outlineLevel="0" collapsed="false">
      <c r="A45" s="22" t="s">
        <v>17</v>
      </c>
      <c r="B45" s="23" t="s">
        <v>63</v>
      </c>
      <c r="C45" s="24" t="s">
        <v>237</v>
      </c>
      <c r="D45" s="24" t="s">
        <v>220</v>
      </c>
      <c r="E45" s="24" t="s">
        <v>151</v>
      </c>
      <c r="F45" s="24" t="s">
        <v>238</v>
      </c>
      <c r="G45" s="23" t="s">
        <v>238</v>
      </c>
      <c r="H45" s="23"/>
      <c r="I45" s="24" t="s">
        <v>154</v>
      </c>
      <c r="J45" s="24" t="s">
        <v>127</v>
      </c>
      <c r="K45" s="24"/>
      <c r="L45" s="24" t="s">
        <v>71</v>
      </c>
      <c r="M45" s="24" t="s">
        <v>72</v>
      </c>
      <c r="N45" s="24" t="s">
        <v>72</v>
      </c>
      <c r="O45" s="24" t="s">
        <v>73</v>
      </c>
      <c r="P45" s="24" t="s">
        <v>155</v>
      </c>
      <c r="Q45" s="23"/>
      <c r="R45" s="24" t="s">
        <v>239</v>
      </c>
    </row>
    <row r="46" customFormat="false" ht="23.85" hidden="false" customHeight="false" outlineLevel="0" collapsed="false">
      <c r="A46" s="22" t="s">
        <v>17</v>
      </c>
      <c r="B46" s="23" t="s">
        <v>63</v>
      </c>
      <c r="C46" s="24" t="s">
        <v>237</v>
      </c>
      <c r="D46" s="24" t="s">
        <v>220</v>
      </c>
      <c r="E46" s="24" t="s">
        <v>151</v>
      </c>
      <c r="F46" s="24" t="s">
        <v>238</v>
      </c>
      <c r="G46" s="23" t="s">
        <v>238</v>
      </c>
      <c r="H46" s="23"/>
      <c r="I46" s="24" t="s">
        <v>154</v>
      </c>
      <c r="J46" s="24" t="s">
        <v>127</v>
      </c>
      <c r="K46" s="24"/>
      <c r="L46" s="24" t="s">
        <v>71</v>
      </c>
      <c r="M46" s="24" t="s">
        <v>72</v>
      </c>
      <c r="N46" s="24" t="s">
        <v>72</v>
      </c>
      <c r="O46" s="24" t="s">
        <v>73</v>
      </c>
      <c r="P46" s="24" t="s">
        <v>155</v>
      </c>
      <c r="Q46" s="23"/>
      <c r="R46" s="24" t="s">
        <v>240</v>
      </c>
    </row>
    <row r="47" customFormat="false" ht="23.85" hidden="false" customHeight="false" outlineLevel="0" collapsed="false">
      <c r="A47" s="22" t="s">
        <v>17</v>
      </c>
      <c r="B47" s="23" t="s">
        <v>63</v>
      </c>
      <c r="C47" s="24" t="s">
        <v>241</v>
      </c>
      <c r="D47" s="24" t="s">
        <v>242</v>
      </c>
      <c r="E47" s="24" t="s">
        <v>151</v>
      </c>
      <c r="F47" s="24" t="s">
        <v>243</v>
      </c>
      <c r="G47" s="23" t="s">
        <v>244</v>
      </c>
      <c r="H47" s="23" t="s">
        <v>245</v>
      </c>
      <c r="I47" s="24" t="s">
        <v>70</v>
      </c>
      <c r="J47" s="24"/>
      <c r="K47" s="24"/>
      <c r="L47" s="24" t="s">
        <v>71</v>
      </c>
      <c r="M47" s="24" t="s">
        <v>72</v>
      </c>
      <c r="N47" s="24" t="s">
        <v>72</v>
      </c>
      <c r="O47" s="24" t="s">
        <v>73</v>
      </c>
      <c r="P47" s="24" t="s">
        <v>155</v>
      </c>
      <c r="Q47" s="23"/>
      <c r="R47" s="24" t="s">
        <v>246</v>
      </c>
    </row>
    <row r="48" customFormat="false" ht="23.85" hidden="false" customHeight="false" outlineLevel="0" collapsed="false">
      <c r="A48" s="22" t="s">
        <v>17</v>
      </c>
      <c r="B48" s="23" t="s">
        <v>63</v>
      </c>
      <c r="C48" s="24" t="s">
        <v>241</v>
      </c>
      <c r="D48" s="24" t="s">
        <v>65</v>
      </c>
      <c r="E48" s="24" t="s">
        <v>66</v>
      </c>
      <c r="F48" s="24" t="s">
        <v>247</v>
      </c>
      <c r="G48" s="23" t="s">
        <v>248</v>
      </c>
      <c r="H48" s="23" t="s">
        <v>245</v>
      </c>
      <c r="I48" s="24" t="s">
        <v>70</v>
      </c>
      <c r="J48" s="24"/>
      <c r="K48" s="24"/>
      <c r="L48" s="24" t="s">
        <v>71</v>
      </c>
      <c r="M48" s="24" t="s">
        <v>72</v>
      </c>
      <c r="N48" s="24" t="s">
        <v>72</v>
      </c>
      <c r="O48" s="24" t="s">
        <v>73</v>
      </c>
      <c r="P48" s="24" t="s">
        <v>74</v>
      </c>
      <c r="Q48" s="23"/>
      <c r="R48" s="24" t="s">
        <v>249</v>
      </c>
    </row>
    <row r="49" customFormat="false" ht="23.85" hidden="false" customHeight="false" outlineLevel="0" collapsed="false">
      <c r="A49" s="22" t="s">
        <v>17</v>
      </c>
      <c r="B49" s="23" t="s">
        <v>63</v>
      </c>
      <c r="C49" s="24" t="s">
        <v>250</v>
      </c>
      <c r="D49" s="24" t="s">
        <v>111</v>
      </c>
      <c r="E49" s="24" t="s">
        <v>112</v>
      </c>
      <c r="F49" s="24" t="s">
        <v>251</v>
      </c>
      <c r="G49" s="23" t="s">
        <v>251</v>
      </c>
      <c r="H49" s="23" t="s">
        <v>82</v>
      </c>
      <c r="I49" s="24" t="s">
        <v>70</v>
      </c>
      <c r="J49" s="24" t="s">
        <v>127</v>
      </c>
      <c r="K49" s="24"/>
      <c r="L49" s="24" t="s">
        <v>71</v>
      </c>
      <c r="M49" s="24" t="s">
        <v>72</v>
      </c>
      <c r="N49" s="24" t="s">
        <v>72</v>
      </c>
      <c r="O49" s="24" t="s">
        <v>73</v>
      </c>
      <c r="P49" s="24" t="s">
        <v>74</v>
      </c>
      <c r="Q49" s="23"/>
      <c r="R49" s="24" t="s">
        <v>252</v>
      </c>
    </row>
    <row r="50" customFormat="false" ht="23.85" hidden="false" customHeight="false" outlineLevel="0" collapsed="false">
      <c r="A50" s="22" t="s">
        <v>17</v>
      </c>
      <c r="B50" s="23" t="s">
        <v>63</v>
      </c>
      <c r="C50" s="24" t="s">
        <v>250</v>
      </c>
      <c r="D50" s="24" t="s">
        <v>111</v>
      </c>
      <c r="E50" s="24" t="s">
        <v>112</v>
      </c>
      <c r="F50" s="24" t="s">
        <v>253</v>
      </c>
      <c r="G50" s="23" t="s">
        <v>253</v>
      </c>
      <c r="H50" s="23" t="s">
        <v>82</v>
      </c>
      <c r="I50" s="24" t="s">
        <v>70</v>
      </c>
      <c r="J50" s="24" t="s">
        <v>127</v>
      </c>
      <c r="K50" s="24"/>
      <c r="L50" s="24" t="s">
        <v>71</v>
      </c>
      <c r="M50" s="24" t="s">
        <v>72</v>
      </c>
      <c r="N50" s="24" t="s">
        <v>72</v>
      </c>
      <c r="O50" s="24" t="s">
        <v>73</v>
      </c>
      <c r="P50" s="24" t="s">
        <v>74</v>
      </c>
      <c r="Q50" s="23"/>
      <c r="R50" s="24" t="s">
        <v>254</v>
      </c>
    </row>
    <row r="51" customFormat="false" ht="23.85" hidden="false" customHeight="false" outlineLevel="0" collapsed="false">
      <c r="A51" s="22" t="s">
        <v>17</v>
      </c>
      <c r="B51" s="23" t="s">
        <v>63</v>
      </c>
      <c r="C51" s="24" t="s">
        <v>255</v>
      </c>
      <c r="D51" s="24" t="s">
        <v>256</v>
      </c>
      <c r="E51" s="24" t="s">
        <v>135</v>
      </c>
      <c r="F51" s="24" t="s">
        <v>257</v>
      </c>
      <c r="G51" s="23" t="s">
        <v>257</v>
      </c>
      <c r="H51" s="23" t="s">
        <v>258</v>
      </c>
      <c r="I51" s="24" t="s">
        <v>70</v>
      </c>
      <c r="J51" s="24" t="s">
        <v>127</v>
      </c>
      <c r="K51" s="24"/>
      <c r="L51" s="24" t="s">
        <v>71</v>
      </c>
      <c r="M51" s="24" t="s">
        <v>72</v>
      </c>
      <c r="N51" s="24" t="s">
        <v>72</v>
      </c>
      <c r="O51" s="24" t="s">
        <v>73</v>
      </c>
      <c r="P51" s="24"/>
      <c r="Q51" s="23"/>
      <c r="R51" s="24" t="s">
        <v>259</v>
      </c>
    </row>
    <row r="52" customFormat="false" ht="23.85" hidden="false" customHeight="false" outlineLevel="0" collapsed="false">
      <c r="A52" s="22" t="s">
        <v>17</v>
      </c>
      <c r="B52" s="23" t="s">
        <v>63</v>
      </c>
      <c r="C52" s="24" t="s">
        <v>255</v>
      </c>
      <c r="D52" s="24" t="s">
        <v>65</v>
      </c>
      <c r="E52" s="24" t="s">
        <v>66</v>
      </c>
      <c r="F52" s="24" t="s">
        <v>260</v>
      </c>
      <c r="G52" s="23" t="s">
        <v>261</v>
      </c>
      <c r="H52" s="23" t="s">
        <v>262</v>
      </c>
      <c r="I52" s="24" t="s">
        <v>70</v>
      </c>
      <c r="J52" s="24"/>
      <c r="K52" s="24"/>
      <c r="L52" s="24" t="s">
        <v>71</v>
      </c>
      <c r="M52" s="24" t="s">
        <v>72</v>
      </c>
      <c r="N52" s="24" t="s">
        <v>72</v>
      </c>
      <c r="O52" s="24" t="s">
        <v>73</v>
      </c>
      <c r="P52" s="24"/>
      <c r="Q52" s="23"/>
      <c r="R52" s="24" t="s">
        <v>263</v>
      </c>
    </row>
    <row r="53" customFormat="false" ht="23.85" hidden="false" customHeight="false" outlineLevel="0" collapsed="false">
      <c r="A53" s="22" t="s">
        <v>17</v>
      </c>
      <c r="B53" s="23" t="s">
        <v>63</v>
      </c>
      <c r="C53" s="24" t="s">
        <v>264</v>
      </c>
      <c r="D53" s="24" t="s">
        <v>111</v>
      </c>
      <c r="E53" s="24" t="s">
        <v>112</v>
      </c>
      <c r="F53" s="24" t="s">
        <v>265</v>
      </c>
      <c r="G53" s="23" t="s">
        <v>266</v>
      </c>
      <c r="H53" s="23" t="s">
        <v>267</v>
      </c>
      <c r="I53" s="24" t="s">
        <v>70</v>
      </c>
      <c r="J53" s="24"/>
      <c r="K53" s="24"/>
      <c r="L53" s="24" t="s">
        <v>71</v>
      </c>
      <c r="M53" s="24" t="s">
        <v>72</v>
      </c>
      <c r="N53" s="24" t="s">
        <v>72</v>
      </c>
      <c r="O53" s="24" t="s">
        <v>73</v>
      </c>
      <c r="P53" s="24" t="s">
        <v>74</v>
      </c>
      <c r="Q53" s="23"/>
      <c r="R53" s="24" t="s">
        <v>268</v>
      </c>
    </row>
    <row r="54" customFormat="false" ht="23.85" hidden="false" customHeight="false" outlineLevel="0" collapsed="false">
      <c r="A54" s="22" t="s">
        <v>17</v>
      </c>
      <c r="B54" s="23" t="s">
        <v>63</v>
      </c>
      <c r="C54" s="24" t="s">
        <v>264</v>
      </c>
      <c r="D54" s="24" t="s">
        <v>111</v>
      </c>
      <c r="E54" s="24" t="s">
        <v>112</v>
      </c>
      <c r="F54" s="24" t="s">
        <v>269</v>
      </c>
      <c r="G54" s="23" t="s">
        <v>270</v>
      </c>
      <c r="H54" s="23" t="s">
        <v>267</v>
      </c>
      <c r="I54" s="24" t="s">
        <v>70</v>
      </c>
      <c r="J54" s="24"/>
      <c r="K54" s="24"/>
      <c r="L54" s="24" t="s">
        <v>71</v>
      </c>
      <c r="M54" s="24" t="s">
        <v>72</v>
      </c>
      <c r="N54" s="24" t="s">
        <v>72</v>
      </c>
      <c r="O54" s="24" t="s">
        <v>73</v>
      </c>
      <c r="P54" s="24" t="s">
        <v>74</v>
      </c>
      <c r="Q54" s="23"/>
      <c r="R54" s="24" t="s">
        <v>271</v>
      </c>
    </row>
    <row r="55" customFormat="false" ht="23.85" hidden="false" customHeight="false" outlineLevel="0" collapsed="false">
      <c r="A55" s="22" t="s">
        <v>17</v>
      </c>
      <c r="B55" s="23" t="s">
        <v>63</v>
      </c>
      <c r="C55" s="24" t="s">
        <v>264</v>
      </c>
      <c r="D55" s="24" t="s">
        <v>111</v>
      </c>
      <c r="E55" s="24" t="s">
        <v>112</v>
      </c>
      <c r="F55" s="24" t="s">
        <v>272</v>
      </c>
      <c r="G55" s="23" t="s">
        <v>273</v>
      </c>
      <c r="H55" s="23" t="s">
        <v>274</v>
      </c>
      <c r="I55" s="24" t="s">
        <v>70</v>
      </c>
      <c r="J55" s="24"/>
      <c r="K55" s="24"/>
      <c r="L55" s="24" t="s">
        <v>71</v>
      </c>
      <c r="M55" s="24" t="s">
        <v>72</v>
      </c>
      <c r="N55" s="24" t="s">
        <v>72</v>
      </c>
      <c r="O55" s="24" t="s">
        <v>73</v>
      </c>
      <c r="P55" s="24" t="s">
        <v>74</v>
      </c>
      <c r="Q55" s="23"/>
      <c r="R55" s="24" t="s">
        <v>275</v>
      </c>
    </row>
    <row r="56" customFormat="false" ht="23.85" hidden="false" customHeight="false" outlineLevel="0" collapsed="false">
      <c r="A56" s="22" t="s">
        <v>17</v>
      </c>
      <c r="B56" s="23" t="s">
        <v>63</v>
      </c>
      <c r="C56" s="24" t="s">
        <v>264</v>
      </c>
      <c r="D56" s="24" t="s">
        <v>111</v>
      </c>
      <c r="E56" s="24" t="s">
        <v>112</v>
      </c>
      <c r="F56" s="24" t="s">
        <v>276</v>
      </c>
      <c r="G56" s="23" t="s">
        <v>277</v>
      </c>
      <c r="H56" s="23" t="s">
        <v>274</v>
      </c>
      <c r="I56" s="24" t="s">
        <v>70</v>
      </c>
      <c r="J56" s="24"/>
      <c r="K56" s="24"/>
      <c r="L56" s="24" t="s">
        <v>71</v>
      </c>
      <c r="M56" s="24" t="s">
        <v>72</v>
      </c>
      <c r="N56" s="24" t="s">
        <v>72</v>
      </c>
      <c r="O56" s="24" t="s">
        <v>73</v>
      </c>
      <c r="P56" s="24" t="s">
        <v>74</v>
      </c>
      <c r="Q56" s="23"/>
      <c r="R56" s="24" t="s">
        <v>278</v>
      </c>
    </row>
    <row r="57" customFormat="false" ht="23.85" hidden="false" customHeight="false" outlineLevel="0" collapsed="false">
      <c r="A57" s="25" t="s">
        <v>19</v>
      </c>
      <c r="B57" s="23" t="s">
        <v>279</v>
      </c>
      <c r="C57" s="24" t="s">
        <v>64</v>
      </c>
      <c r="D57" s="24" t="s">
        <v>104</v>
      </c>
      <c r="E57" s="24" t="s">
        <v>66</v>
      </c>
      <c r="F57" s="24"/>
      <c r="G57" s="23" t="s">
        <v>280</v>
      </c>
      <c r="H57" s="23" t="s">
        <v>69</v>
      </c>
      <c r="I57" s="24" t="s">
        <v>70</v>
      </c>
      <c r="J57" s="24"/>
      <c r="K57" s="24" t="s">
        <v>127</v>
      </c>
      <c r="L57" s="24" t="s">
        <v>281</v>
      </c>
      <c r="M57" s="24" t="s">
        <v>282</v>
      </c>
      <c r="N57" s="24" t="s">
        <v>283</v>
      </c>
      <c r="O57" s="24" t="s">
        <v>73</v>
      </c>
      <c r="P57" s="24" t="s">
        <v>74</v>
      </c>
      <c r="Q57" s="23" t="s">
        <v>284</v>
      </c>
      <c r="R57" s="24" t="s">
        <v>285</v>
      </c>
    </row>
    <row r="58" customFormat="false" ht="23.85" hidden="false" customHeight="false" outlineLevel="0" collapsed="false">
      <c r="A58" s="25" t="s">
        <v>19</v>
      </c>
      <c r="B58" s="23" t="s">
        <v>279</v>
      </c>
      <c r="C58" s="24" t="s">
        <v>123</v>
      </c>
      <c r="D58" s="24" t="s">
        <v>134</v>
      </c>
      <c r="E58" s="24" t="s">
        <v>135</v>
      </c>
      <c r="F58" s="24"/>
      <c r="G58" s="23" t="s">
        <v>286</v>
      </c>
      <c r="H58" s="23" t="s">
        <v>126</v>
      </c>
      <c r="I58" s="24" t="s">
        <v>70</v>
      </c>
      <c r="J58" s="24"/>
      <c r="K58" s="24" t="s">
        <v>127</v>
      </c>
      <c r="L58" s="24" t="s">
        <v>281</v>
      </c>
      <c r="M58" s="24" t="s">
        <v>282</v>
      </c>
      <c r="N58" s="24" t="s">
        <v>283</v>
      </c>
      <c r="O58" s="24" t="s">
        <v>73</v>
      </c>
      <c r="P58" s="24"/>
      <c r="Q58" s="23"/>
      <c r="R58" s="24" t="s">
        <v>287</v>
      </c>
    </row>
    <row r="59" customFormat="false" ht="23.85" hidden="false" customHeight="false" outlineLevel="0" collapsed="false">
      <c r="A59" s="25" t="s">
        <v>19</v>
      </c>
      <c r="B59" s="23" t="s">
        <v>279</v>
      </c>
      <c r="C59" s="24" t="s">
        <v>123</v>
      </c>
      <c r="D59" s="24" t="s">
        <v>134</v>
      </c>
      <c r="E59" s="24" t="s">
        <v>135</v>
      </c>
      <c r="F59" s="24"/>
      <c r="G59" s="23" t="s">
        <v>288</v>
      </c>
      <c r="H59" s="23" t="s">
        <v>126</v>
      </c>
      <c r="I59" s="24" t="s">
        <v>70</v>
      </c>
      <c r="J59" s="24" t="s">
        <v>127</v>
      </c>
      <c r="K59" s="24" t="s">
        <v>127</v>
      </c>
      <c r="L59" s="24" t="s">
        <v>281</v>
      </c>
      <c r="M59" s="24" t="s">
        <v>282</v>
      </c>
      <c r="N59" s="24" t="s">
        <v>283</v>
      </c>
      <c r="O59" s="24" t="s">
        <v>73</v>
      </c>
      <c r="P59" s="24"/>
      <c r="Q59" s="23"/>
      <c r="R59" s="24" t="s">
        <v>289</v>
      </c>
    </row>
    <row r="60" customFormat="false" ht="23.85" hidden="false" customHeight="false" outlineLevel="0" collapsed="false">
      <c r="A60" s="25" t="s">
        <v>19</v>
      </c>
      <c r="B60" s="23" t="s">
        <v>279</v>
      </c>
      <c r="C60" s="24" t="s">
        <v>157</v>
      </c>
      <c r="D60" s="24" t="s">
        <v>144</v>
      </c>
      <c r="E60" s="24" t="s">
        <v>135</v>
      </c>
      <c r="F60" s="24"/>
      <c r="G60" s="23" t="s">
        <v>290</v>
      </c>
      <c r="H60" s="23" t="s">
        <v>291</v>
      </c>
      <c r="I60" s="24" t="s">
        <v>70</v>
      </c>
      <c r="J60" s="24"/>
      <c r="K60" s="24" t="s">
        <v>127</v>
      </c>
      <c r="L60" s="24" t="s">
        <v>281</v>
      </c>
      <c r="M60" s="24" t="s">
        <v>282</v>
      </c>
      <c r="N60" s="24" t="s">
        <v>283</v>
      </c>
      <c r="O60" s="24" t="s">
        <v>73</v>
      </c>
      <c r="P60" s="24"/>
      <c r="Q60" s="23" t="s">
        <v>292</v>
      </c>
      <c r="R60" s="24" t="s">
        <v>293</v>
      </c>
    </row>
    <row r="61" customFormat="false" ht="23.85" hidden="false" customHeight="false" outlineLevel="0" collapsed="false">
      <c r="A61" s="25" t="s">
        <v>19</v>
      </c>
      <c r="B61" s="23" t="s">
        <v>279</v>
      </c>
      <c r="C61" s="24" t="s">
        <v>157</v>
      </c>
      <c r="D61" s="24" t="s">
        <v>144</v>
      </c>
      <c r="E61" s="24" t="s">
        <v>135</v>
      </c>
      <c r="F61" s="24"/>
      <c r="G61" s="23" t="s">
        <v>294</v>
      </c>
      <c r="H61" s="23" t="s">
        <v>295</v>
      </c>
      <c r="I61" s="24" t="s">
        <v>70</v>
      </c>
      <c r="J61" s="24"/>
      <c r="K61" s="24" t="s">
        <v>127</v>
      </c>
      <c r="L61" s="24" t="s">
        <v>281</v>
      </c>
      <c r="M61" s="24" t="s">
        <v>282</v>
      </c>
      <c r="N61" s="24" t="s">
        <v>283</v>
      </c>
      <c r="O61" s="24" t="s">
        <v>73</v>
      </c>
      <c r="P61" s="24"/>
      <c r="Q61" s="23"/>
      <c r="R61" s="24" t="s">
        <v>296</v>
      </c>
    </row>
    <row r="62" customFormat="false" ht="23.85" hidden="false" customHeight="false" outlineLevel="0" collapsed="false">
      <c r="A62" s="25" t="s">
        <v>19</v>
      </c>
      <c r="B62" s="23" t="s">
        <v>279</v>
      </c>
      <c r="C62" s="24" t="s">
        <v>157</v>
      </c>
      <c r="D62" s="24" t="s">
        <v>144</v>
      </c>
      <c r="E62" s="24" t="s">
        <v>135</v>
      </c>
      <c r="F62" s="24"/>
      <c r="G62" s="23" t="s">
        <v>297</v>
      </c>
      <c r="H62" s="23" t="s">
        <v>295</v>
      </c>
      <c r="I62" s="24" t="s">
        <v>70</v>
      </c>
      <c r="J62" s="24"/>
      <c r="K62" s="24" t="s">
        <v>127</v>
      </c>
      <c r="L62" s="24" t="s">
        <v>281</v>
      </c>
      <c r="M62" s="24" t="s">
        <v>282</v>
      </c>
      <c r="N62" s="24" t="s">
        <v>283</v>
      </c>
      <c r="O62" s="24" t="s">
        <v>73</v>
      </c>
      <c r="P62" s="24"/>
      <c r="Q62" s="23"/>
      <c r="R62" s="24" t="s">
        <v>298</v>
      </c>
    </row>
    <row r="63" customFormat="false" ht="23.85" hidden="false" customHeight="false" outlineLevel="0" collapsed="false">
      <c r="A63" s="25" t="s">
        <v>19</v>
      </c>
      <c r="B63" s="23" t="s">
        <v>279</v>
      </c>
      <c r="C63" s="24" t="s">
        <v>157</v>
      </c>
      <c r="D63" s="24" t="s">
        <v>158</v>
      </c>
      <c r="E63" s="24" t="s">
        <v>151</v>
      </c>
      <c r="F63" s="24"/>
      <c r="G63" s="23" t="s">
        <v>299</v>
      </c>
      <c r="H63" s="23" t="s">
        <v>161</v>
      </c>
      <c r="I63" s="24" t="s">
        <v>70</v>
      </c>
      <c r="J63" s="24"/>
      <c r="K63" s="24" t="s">
        <v>127</v>
      </c>
      <c r="L63" s="24" t="s">
        <v>281</v>
      </c>
      <c r="M63" s="24" t="s">
        <v>282</v>
      </c>
      <c r="N63" s="24" t="s">
        <v>283</v>
      </c>
      <c r="O63" s="24" t="s">
        <v>73</v>
      </c>
      <c r="P63" s="24" t="s">
        <v>155</v>
      </c>
      <c r="Q63" s="23" t="s">
        <v>284</v>
      </c>
      <c r="R63" s="24" t="s">
        <v>300</v>
      </c>
    </row>
    <row r="64" customFormat="false" ht="23.85" hidden="false" customHeight="false" outlineLevel="0" collapsed="false">
      <c r="A64" s="25" t="s">
        <v>19</v>
      </c>
      <c r="B64" s="23" t="s">
        <v>279</v>
      </c>
      <c r="C64" s="24" t="s">
        <v>163</v>
      </c>
      <c r="D64" s="24" t="s">
        <v>91</v>
      </c>
      <c r="E64" s="24" t="s">
        <v>66</v>
      </c>
      <c r="F64" s="24"/>
      <c r="G64" s="23" t="s">
        <v>182</v>
      </c>
      <c r="H64" s="23" t="s">
        <v>174</v>
      </c>
      <c r="I64" s="24" t="s">
        <v>70</v>
      </c>
      <c r="J64" s="24"/>
      <c r="K64" s="24" t="s">
        <v>127</v>
      </c>
      <c r="L64" s="24" t="s">
        <v>281</v>
      </c>
      <c r="M64" s="24" t="s">
        <v>282</v>
      </c>
      <c r="N64" s="24" t="s">
        <v>283</v>
      </c>
      <c r="O64" s="24" t="s">
        <v>73</v>
      </c>
      <c r="P64" s="24" t="s">
        <v>74</v>
      </c>
      <c r="Q64" s="23" t="s">
        <v>284</v>
      </c>
      <c r="R64" s="24" t="s">
        <v>301</v>
      </c>
    </row>
    <row r="65" customFormat="false" ht="23.85" hidden="false" customHeight="false" outlineLevel="0" collapsed="false">
      <c r="A65" s="25" t="s">
        <v>19</v>
      </c>
      <c r="B65" s="23" t="s">
        <v>279</v>
      </c>
      <c r="C65" s="24" t="s">
        <v>302</v>
      </c>
      <c r="D65" s="24" t="s">
        <v>158</v>
      </c>
      <c r="E65" s="24" t="s">
        <v>151</v>
      </c>
      <c r="F65" s="24"/>
      <c r="G65" s="23" t="s">
        <v>303</v>
      </c>
      <c r="H65" s="23" t="s">
        <v>304</v>
      </c>
      <c r="I65" s="24" t="s">
        <v>70</v>
      </c>
      <c r="J65" s="24"/>
      <c r="K65" s="24" t="s">
        <v>127</v>
      </c>
      <c r="L65" s="24" t="s">
        <v>281</v>
      </c>
      <c r="M65" s="24" t="s">
        <v>282</v>
      </c>
      <c r="N65" s="24" t="s">
        <v>283</v>
      </c>
      <c r="O65" s="24" t="s">
        <v>73</v>
      </c>
      <c r="P65" s="24" t="s">
        <v>155</v>
      </c>
      <c r="Q65" s="23" t="s">
        <v>284</v>
      </c>
      <c r="R65" s="24" t="s">
        <v>305</v>
      </c>
    </row>
    <row r="66" customFormat="false" ht="23.85" hidden="false" customHeight="false" outlineLevel="0" collapsed="false">
      <c r="A66" s="25" t="s">
        <v>19</v>
      </c>
      <c r="B66" s="23" t="s">
        <v>279</v>
      </c>
      <c r="C66" s="24" t="s">
        <v>176</v>
      </c>
      <c r="D66" s="24" t="s">
        <v>242</v>
      </c>
      <c r="E66" s="24" t="s">
        <v>151</v>
      </c>
      <c r="F66" s="24"/>
      <c r="G66" s="23" t="s">
        <v>306</v>
      </c>
      <c r="H66" s="23" t="s">
        <v>166</v>
      </c>
      <c r="I66" s="24" t="s">
        <v>70</v>
      </c>
      <c r="J66" s="24"/>
      <c r="K66" s="24" t="s">
        <v>127</v>
      </c>
      <c r="L66" s="24" t="s">
        <v>281</v>
      </c>
      <c r="M66" s="24" t="s">
        <v>282</v>
      </c>
      <c r="N66" s="24" t="s">
        <v>283</v>
      </c>
      <c r="O66" s="24" t="s">
        <v>73</v>
      </c>
      <c r="P66" s="24" t="s">
        <v>155</v>
      </c>
      <c r="Q66" s="23" t="s">
        <v>284</v>
      </c>
      <c r="R66" s="24" t="s">
        <v>307</v>
      </c>
    </row>
    <row r="67" customFormat="false" ht="23.85" hidden="false" customHeight="false" outlineLevel="0" collapsed="false">
      <c r="A67" s="25" t="s">
        <v>19</v>
      </c>
      <c r="B67" s="23" t="s">
        <v>279</v>
      </c>
      <c r="C67" s="24" t="s">
        <v>176</v>
      </c>
      <c r="D67" s="24" t="s">
        <v>242</v>
      </c>
      <c r="E67" s="24" t="s">
        <v>151</v>
      </c>
      <c r="F67" s="24"/>
      <c r="G67" s="23" t="s">
        <v>308</v>
      </c>
      <c r="H67" s="23" t="s">
        <v>179</v>
      </c>
      <c r="I67" s="24" t="s">
        <v>70</v>
      </c>
      <c r="J67" s="24"/>
      <c r="K67" s="24" t="s">
        <v>127</v>
      </c>
      <c r="L67" s="24" t="s">
        <v>281</v>
      </c>
      <c r="M67" s="24" t="s">
        <v>309</v>
      </c>
      <c r="N67" s="24" t="s">
        <v>283</v>
      </c>
      <c r="O67" s="24" t="s">
        <v>73</v>
      </c>
      <c r="P67" s="24" t="s">
        <v>155</v>
      </c>
      <c r="Q67" s="23"/>
      <c r="R67" s="24" t="s">
        <v>310</v>
      </c>
    </row>
    <row r="68" customFormat="false" ht="23.85" hidden="false" customHeight="false" outlineLevel="0" collapsed="false">
      <c r="A68" s="25" t="s">
        <v>19</v>
      </c>
      <c r="B68" s="23" t="s">
        <v>279</v>
      </c>
      <c r="C68" s="24" t="s">
        <v>176</v>
      </c>
      <c r="D68" s="24" t="s">
        <v>220</v>
      </c>
      <c r="E68" s="24" t="s">
        <v>151</v>
      </c>
      <c r="F68" s="24"/>
      <c r="G68" s="23" t="s">
        <v>311</v>
      </c>
      <c r="H68" s="23" t="s">
        <v>312</v>
      </c>
      <c r="I68" s="24" t="s">
        <v>70</v>
      </c>
      <c r="J68" s="24"/>
      <c r="K68" s="24" t="s">
        <v>127</v>
      </c>
      <c r="L68" s="24" t="s">
        <v>281</v>
      </c>
      <c r="M68" s="24" t="s">
        <v>282</v>
      </c>
      <c r="N68" s="24" t="s">
        <v>283</v>
      </c>
      <c r="O68" s="24" t="s">
        <v>73</v>
      </c>
      <c r="P68" s="24" t="s">
        <v>155</v>
      </c>
      <c r="Q68" s="23" t="s">
        <v>284</v>
      </c>
      <c r="R68" s="24" t="s">
        <v>313</v>
      </c>
    </row>
    <row r="69" customFormat="false" ht="23.85" hidden="false" customHeight="false" outlineLevel="0" collapsed="false">
      <c r="A69" s="25" t="s">
        <v>19</v>
      </c>
      <c r="B69" s="23" t="s">
        <v>279</v>
      </c>
      <c r="C69" s="24" t="s">
        <v>176</v>
      </c>
      <c r="D69" s="24" t="s">
        <v>220</v>
      </c>
      <c r="E69" s="24" t="s">
        <v>151</v>
      </c>
      <c r="F69" s="24"/>
      <c r="G69" s="23" t="s">
        <v>314</v>
      </c>
      <c r="H69" s="23" t="s">
        <v>312</v>
      </c>
      <c r="I69" s="24" t="s">
        <v>70</v>
      </c>
      <c r="J69" s="24"/>
      <c r="K69" s="24" t="s">
        <v>127</v>
      </c>
      <c r="L69" s="24" t="s">
        <v>281</v>
      </c>
      <c r="M69" s="24" t="s">
        <v>282</v>
      </c>
      <c r="N69" s="24" t="s">
        <v>283</v>
      </c>
      <c r="O69" s="24" t="s">
        <v>73</v>
      </c>
      <c r="P69" s="24" t="s">
        <v>155</v>
      </c>
      <c r="Q69" s="23" t="s">
        <v>284</v>
      </c>
      <c r="R69" s="24" t="s">
        <v>315</v>
      </c>
    </row>
    <row r="70" customFormat="false" ht="23.85" hidden="false" customHeight="false" outlineLevel="0" collapsed="false">
      <c r="A70" s="25" t="s">
        <v>19</v>
      </c>
      <c r="B70" s="23" t="s">
        <v>279</v>
      </c>
      <c r="C70" s="24" t="s">
        <v>176</v>
      </c>
      <c r="D70" s="24" t="s">
        <v>316</v>
      </c>
      <c r="E70" s="24" t="s">
        <v>151</v>
      </c>
      <c r="F70" s="24"/>
      <c r="G70" s="23" t="s">
        <v>306</v>
      </c>
      <c r="H70" s="23" t="s">
        <v>166</v>
      </c>
      <c r="I70" s="24" t="s">
        <v>70</v>
      </c>
      <c r="J70" s="24"/>
      <c r="K70" s="24" t="s">
        <v>127</v>
      </c>
      <c r="L70" s="24" t="s">
        <v>281</v>
      </c>
      <c r="M70" s="24" t="s">
        <v>282</v>
      </c>
      <c r="N70" s="24" t="s">
        <v>283</v>
      </c>
      <c r="O70" s="24" t="s">
        <v>73</v>
      </c>
      <c r="P70" s="24" t="s">
        <v>74</v>
      </c>
      <c r="Q70" s="23" t="s">
        <v>284</v>
      </c>
      <c r="R70" s="24" t="s">
        <v>317</v>
      </c>
    </row>
    <row r="71" customFormat="false" ht="23.85" hidden="false" customHeight="false" outlineLevel="0" collapsed="false">
      <c r="A71" s="25" t="s">
        <v>19</v>
      </c>
      <c r="B71" s="23" t="s">
        <v>279</v>
      </c>
      <c r="C71" s="24" t="s">
        <v>176</v>
      </c>
      <c r="D71" s="24" t="s">
        <v>124</v>
      </c>
      <c r="E71" s="24" t="s">
        <v>66</v>
      </c>
      <c r="F71" s="24"/>
      <c r="G71" s="23" t="s">
        <v>318</v>
      </c>
      <c r="H71" s="23" t="s">
        <v>312</v>
      </c>
      <c r="I71" s="24" t="s">
        <v>70</v>
      </c>
      <c r="J71" s="24"/>
      <c r="K71" s="24" t="s">
        <v>127</v>
      </c>
      <c r="L71" s="24" t="s">
        <v>281</v>
      </c>
      <c r="M71" s="24" t="s">
        <v>282</v>
      </c>
      <c r="N71" s="24" t="s">
        <v>283</v>
      </c>
      <c r="O71" s="24" t="s">
        <v>73</v>
      </c>
      <c r="P71" s="24" t="s">
        <v>74</v>
      </c>
      <c r="Q71" s="23" t="s">
        <v>284</v>
      </c>
      <c r="R71" s="24" t="s">
        <v>319</v>
      </c>
    </row>
    <row r="72" customFormat="false" ht="23.85" hidden="false" customHeight="false" outlineLevel="0" collapsed="false">
      <c r="A72" s="25" t="s">
        <v>19</v>
      </c>
      <c r="B72" s="23" t="s">
        <v>279</v>
      </c>
      <c r="C72" s="24" t="s">
        <v>176</v>
      </c>
      <c r="D72" s="24" t="s">
        <v>124</v>
      </c>
      <c r="E72" s="24" t="s">
        <v>66</v>
      </c>
      <c r="F72" s="24"/>
      <c r="G72" s="23" t="s">
        <v>318</v>
      </c>
      <c r="H72" s="23" t="s">
        <v>312</v>
      </c>
      <c r="I72" s="24" t="s">
        <v>70</v>
      </c>
      <c r="J72" s="24"/>
      <c r="K72" s="24" t="s">
        <v>127</v>
      </c>
      <c r="L72" s="24" t="s">
        <v>281</v>
      </c>
      <c r="M72" s="24" t="s">
        <v>282</v>
      </c>
      <c r="N72" s="24" t="s">
        <v>283</v>
      </c>
      <c r="O72" s="24" t="s">
        <v>73</v>
      </c>
      <c r="P72" s="24" t="s">
        <v>74</v>
      </c>
      <c r="Q72" s="23" t="s">
        <v>284</v>
      </c>
      <c r="R72" s="24" t="s">
        <v>320</v>
      </c>
    </row>
    <row r="73" customFormat="false" ht="23.85" hidden="false" customHeight="false" outlineLevel="0" collapsed="false">
      <c r="A73" s="25" t="s">
        <v>19</v>
      </c>
      <c r="B73" s="23" t="s">
        <v>279</v>
      </c>
      <c r="C73" s="24" t="s">
        <v>184</v>
      </c>
      <c r="D73" s="24" t="s">
        <v>150</v>
      </c>
      <c r="E73" s="24" t="s">
        <v>151</v>
      </c>
      <c r="F73" s="24"/>
      <c r="G73" s="23" t="s">
        <v>321</v>
      </c>
      <c r="H73" s="23" t="s">
        <v>201</v>
      </c>
      <c r="I73" s="24" t="s">
        <v>70</v>
      </c>
      <c r="J73" s="24"/>
      <c r="K73" s="24" t="s">
        <v>127</v>
      </c>
      <c r="L73" s="24" t="s">
        <v>281</v>
      </c>
      <c r="M73" s="24" t="s">
        <v>309</v>
      </c>
      <c r="N73" s="24" t="s">
        <v>283</v>
      </c>
      <c r="O73" s="24" t="s">
        <v>73</v>
      </c>
      <c r="P73" s="24" t="s">
        <v>155</v>
      </c>
      <c r="Q73" s="23"/>
      <c r="R73" s="24" t="s">
        <v>322</v>
      </c>
    </row>
    <row r="74" customFormat="false" ht="23.85" hidden="false" customHeight="false" outlineLevel="0" collapsed="false">
      <c r="A74" s="25" t="s">
        <v>19</v>
      </c>
      <c r="B74" s="23" t="s">
        <v>279</v>
      </c>
      <c r="C74" s="24" t="s">
        <v>184</v>
      </c>
      <c r="D74" s="24" t="s">
        <v>150</v>
      </c>
      <c r="E74" s="24" t="s">
        <v>151</v>
      </c>
      <c r="F74" s="24"/>
      <c r="G74" s="23" t="s">
        <v>323</v>
      </c>
      <c r="H74" s="23" t="s">
        <v>187</v>
      </c>
      <c r="I74" s="24" t="s">
        <v>70</v>
      </c>
      <c r="J74" s="24"/>
      <c r="K74" s="24" t="s">
        <v>127</v>
      </c>
      <c r="L74" s="24" t="s">
        <v>281</v>
      </c>
      <c r="M74" s="24" t="s">
        <v>282</v>
      </c>
      <c r="N74" s="24" t="s">
        <v>283</v>
      </c>
      <c r="O74" s="24" t="s">
        <v>73</v>
      </c>
      <c r="P74" s="24" t="s">
        <v>155</v>
      </c>
      <c r="Q74" s="23" t="s">
        <v>284</v>
      </c>
      <c r="R74" s="24" t="s">
        <v>324</v>
      </c>
    </row>
    <row r="75" customFormat="false" ht="23.85" hidden="false" customHeight="false" outlineLevel="0" collapsed="false">
      <c r="A75" s="25" t="s">
        <v>19</v>
      </c>
      <c r="B75" s="23" t="s">
        <v>279</v>
      </c>
      <c r="C75" s="24" t="s">
        <v>184</v>
      </c>
      <c r="D75" s="24" t="s">
        <v>84</v>
      </c>
      <c r="E75" s="24" t="s">
        <v>66</v>
      </c>
      <c r="F75" s="24"/>
      <c r="G75" s="23" t="s">
        <v>325</v>
      </c>
      <c r="H75" s="23" t="s">
        <v>201</v>
      </c>
      <c r="I75" s="24" t="s">
        <v>70</v>
      </c>
      <c r="J75" s="24"/>
      <c r="K75" s="24" t="s">
        <v>127</v>
      </c>
      <c r="L75" s="24" t="s">
        <v>281</v>
      </c>
      <c r="M75" s="24" t="s">
        <v>282</v>
      </c>
      <c r="N75" s="24" t="s">
        <v>283</v>
      </c>
      <c r="O75" s="24" t="s">
        <v>73</v>
      </c>
      <c r="P75" s="24" t="s">
        <v>74</v>
      </c>
      <c r="Q75" s="23" t="s">
        <v>292</v>
      </c>
      <c r="R75" s="24" t="s">
        <v>326</v>
      </c>
    </row>
    <row r="76" customFormat="false" ht="23.85" hidden="false" customHeight="false" outlineLevel="0" collapsed="false">
      <c r="A76" s="25" t="s">
        <v>19</v>
      </c>
      <c r="B76" s="23" t="s">
        <v>279</v>
      </c>
      <c r="C76" s="24" t="s">
        <v>184</v>
      </c>
      <c r="D76" s="24" t="s">
        <v>104</v>
      </c>
      <c r="E76" s="24" t="s">
        <v>66</v>
      </c>
      <c r="F76" s="24"/>
      <c r="G76" s="23" t="s">
        <v>327</v>
      </c>
      <c r="H76" s="23" t="s">
        <v>201</v>
      </c>
      <c r="I76" s="24" t="s">
        <v>70</v>
      </c>
      <c r="J76" s="24"/>
      <c r="K76" s="24" t="s">
        <v>127</v>
      </c>
      <c r="L76" s="24" t="s">
        <v>281</v>
      </c>
      <c r="M76" s="24" t="s">
        <v>282</v>
      </c>
      <c r="N76" s="24" t="s">
        <v>283</v>
      </c>
      <c r="O76" s="24" t="s">
        <v>73</v>
      </c>
      <c r="P76" s="24" t="s">
        <v>74</v>
      </c>
      <c r="Q76" s="23" t="s">
        <v>284</v>
      </c>
      <c r="R76" s="24" t="s">
        <v>328</v>
      </c>
    </row>
    <row r="77" customFormat="false" ht="23.85" hidden="false" customHeight="false" outlineLevel="0" collapsed="false">
      <c r="A77" s="25" t="s">
        <v>19</v>
      </c>
      <c r="B77" s="23" t="s">
        <v>279</v>
      </c>
      <c r="C77" s="24" t="s">
        <v>184</v>
      </c>
      <c r="D77" s="24" t="s">
        <v>104</v>
      </c>
      <c r="E77" s="24" t="s">
        <v>66</v>
      </c>
      <c r="F77" s="24"/>
      <c r="G77" s="23" t="s">
        <v>327</v>
      </c>
      <c r="H77" s="23" t="s">
        <v>201</v>
      </c>
      <c r="I77" s="24" t="s">
        <v>70</v>
      </c>
      <c r="J77" s="24"/>
      <c r="K77" s="24" t="s">
        <v>127</v>
      </c>
      <c r="L77" s="24" t="s">
        <v>281</v>
      </c>
      <c r="M77" s="24" t="s">
        <v>309</v>
      </c>
      <c r="N77" s="24" t="s">
        <v>283</v>
      </c>
      <c r="O77" s="24" t="s">
        <v>73</v>
      </c>
      <c r="P77" s="24" t="s">
        <v>74</v>
      </c>
      <c r="Q77" s="23"/>
      <c r="R77" s="24" t="s">
        <v>329</v>
      </c>
    </row>
    <row r="78" customFormat="false" ht="23.85" hidden="false" customHeight="false" outlineLevel="0" collapsed="false">
      <c r="A78" s="25" t="s">
        <v>19</v>
      </c>
      <c r="B78" s="23" t="s">
        <v>279</v>
      </c>
      <c r="C78" s="24" t="s">
        <v>224</v>
      </c>
      <c r="D78" s="24" t="s">
        <v>134</v>
      </c>
      <c r="E78" s="24" t="s">
        <v>135</v>
      </c>
      <c r="F78" s="24"/>
      <c r="G78" s="23" t="s">
        <v>330</v>
      </c>
      <c r="H78" s="23" t="s">
        <v>331</v>
      </c>
      <c r="I78" s="24" t="s">
        <v>70</v>
      </c>
      <c r="J78" s="24"/>
      <c r="K78" s="24" t="s">
        <v>127</v>
      </c>
      <c r="L78" s="24" t="s">
        <v>281</v>
      </c>
      <c r="M78" s="24" t="s">
        <v>282</v>
      </c>
      <c r="N78" s="24" t="s">
        <v>283</v>
      </c>
      <c r="O78" s="24" t="s">
        <v>73</v>
      </c>
      <c r="P78" s="24"/>
      <c r="Q78" s="23"/>
      <c r="R78" s="24" t="s">
        <v>332</v>
      </c>
    </row>
    <row r="79" customFormat="false" ht="23.85" hidden="false" customHeight="false" outlineLevel="0" collapsed="false">
      <c r="A79" s="25" t="s">
        <v>19</v>
      </c>
      <c r="B79" s="23" t="s">
        <v>279</v>
      </c>
      <c r="C79" s="24" t="s">
        <v>224</v>
      </c>
      <c r="D79" s="24" t="s">
        <v>134</v>
      </c>
      <c r="E79" s="24" t="s">
        <v>135</v>
      </c>
      <c r="F79" s="24"/>
      <c r="G79" s="23" t="s">
        <v>333</v>
      </c>
      <c r="H79" s="23" t="s">
        <v>331</v>
      </c>
      <c r="I79" s="24" t="s">
        <v>70</v>
      </c>
      <c r="J79" s="24"/>
      <c r="K79" s="24" t="s">
        <v>127</v>
      </c>
      <c r="L79" s="24" t="s">
        <v>281</v>
      </c>
      <c r="M79" s="24" t="s">
        <v>282</v>
      </c>
      <c r="N79" s="24" t="s">
        <v>283</v>
      </c>
      <c r="O79" s="24" t="s">
        <v>73</v>
      </c>
      <c r="P79" s="24"/>
      <c r="Q79" s="23"/>
      <c r="R79" s="24" t="s">
        <v>334</v>
      </c>
    </row>
    <row r="80" customFormat="false" ht="23.85" hidden="false" customHeight="false" outlineLevel="0" collapsed="false">
      <c r="A80" s="25" t="s">
        <v>19</v>
      </c>
      <c r="B80" s="23" t="s">
        <v>279</v>
      </c>
      <c r="C80" s="24" t="s">
        <v>224</v>
      </c>
      <c r="D80" s="24" t="s">
        <v>144</v>
      </c>
      <c r="E80" s="24" t="s">
        <v>135</v>
      </c>
      <c r="F80" s="24"/>
      <c r="G80" s="23" t="s">
        <v>335</v>
      </c>
      <c r="H80" s="23" t="s">
        <v>336</v>
      </c>
      <c r="I80" s="24" t="s">
        <v>70</v>
      </c>
      <c r="J80" s="24"/>
      <c r="K80" s="24" t="s">
        <v>127</v>
      </c>
      <c r="L80" s="24" t="s">
        <v>281</v>
      </c>
      <c r="M80" s="24" t="s">
        <v>282</v>
      </c>
      <c r="N80" s="24" t="s">
        <v>283</v>
      </c>
      <c r="O80" s="24" t="s">
        <v>73</v>
      </c>
      <c r="P80" s="24" t="s">
        <v>147</v>
      </c>
      <c r="Q80" s="23"/>
      <c r="R80" s="24" t="s">
        <v>337</v>
      </c>
    </row>
    <row r="81" customFormat="false" ht="23.85" hidden="false" customHeight="false" outlineLevel="0" collapsed="false">
      <c r="A81" s="25" t="s">
        <v>19</v>
      </c>
      <c r="B81" s="23" t="s">
        <v>279</v>
      </c>
      <c r="C81" s="24" t="s">
        <v>224</v>
      </c>
      <c r="D81" s="24" t="s">
        <v>124</v>
      </c>
      <c r="E81" s="24" t="s">
        <v>66</v>
      </c>
      <c r="F81" s="24"/>
      <c r="G81" s="23" t="s">
        <v>338</v>
      </c>
      <c r="H81" s="23" t="s">
        <v>331</v>
      </c>
      <c r="I81" s="24" t="s">
        <v>70</v>
      </c>
      <c r="J81" s="24"/>
      <c r="K81" s="24" t="s">
        <v>127</v>
      </c>
      <c r="L81" s="24" t="s">
        <v>281</v>
      </c>
      <c r="M81" s="24" t="s">
        <v>309</v>
      </c>
      <c r="N81" s="24" t="s">
        <v>283</v>
      </c>
      <c r="O81" s="24" t="s">
        <v>73</v>
      </c>
      <c r="P81" s="24" t="s">
        <v>74</v>
      </c>
      <c r="Q81" s="23"/>
      <c r="R81" s="24" t="s">
        <v>339</v>
      </c>
    </row>
    <row r="82" customFormat="false" ht="23.85" hidden="false" customHeight="false" outlineLevel="0" collapsed="false">
      <c r="A82" s="25" t="s">
        <v>19</v>
      </c>
      <c r="B82" s="23" t="s">
        <v>279</v>
      </c>
      <c r="C82" s="24" t="s">
        <v>229</v>
      </c>
      <c r="D82" s="24" t="s">
        <v>242</v>
      </c>
      <c r="E82" s="24" t="s">
        <v>151</v>
      </c>
      <c r="F82" s="24"/>
      <c r="G82" s="23" t="s">
        <v>340</v>
      </c>
      <c r="H82" s="23" t="s">
        <v>341</v>
      </c>
      <c r="I82" s="24" t="s">
        <v>70</v>
      </c>
      <c r="J82" s="24"/>
      <c r="K82" s="24" t="s">
        <v>127</v>
      </c>
      <c r="L82" s="24" t="s">
        <v>281</v>
      </c>
      <c r="M82" s="24" t="s">
        <v>309</v>
      </c>
      <c r="N82" s="24" t="s">
        <v>283</v>
      </c>
      <c r="O82" s="24" t="s">
        <v>73</v>
      </c>
      <c r="P82" s="24"/>
      <c r="Q82" s="23"/>
      <c r="R82" s="24" t="s">
        <v>342</v>
      </c>
    </row>
    <row r="83" customFormat="false" ht="23.85" hidden="false" customHeight="false" outlineLevel="0" collapsed="false">
      <c r="A83" s="25" t="s">
        <v>19</v>
      </c>
      <c r="B83" s="23" t="s">
        <v>279</v>
      </c>
      <c r="C83" s="24" t="s">
        <v>229</v>
      </c>
      <c r="D83" s="24" t="s">
        <v>150</v>
      </c>
      <c r="E83" s="24" t="s">
        <v>151</v>
      </c>
      <c r="F83" s="24"/>
      <c r="G83" s="23" t="s">
        <v>343</v>
      </c>
      <c r="H83" s="23" t="s">
        <v>341</v>
      </c>
      <c r="I83" s="24" t="s">
        <v>70</v>
      </c>
      <c r="J83" s="24"/>
      <c r="K83" s="24" t="s">
        <v>127</v>
      </c>
      <c r="L83" s="24" t="s">
        <v>281</v>
      </c>
      <c r="M83" s="24" t="s">
        <v>309</v>
      </c>
      <c r="N83" s="24" t="s">
        <v>283</v>
      </c>
      <c r="O83" s="24" t="s">
        <v>73</v>
      </c>
      <c r="P83" s="24"/>
      <c r="Q83" s="23"/>
      <c r="R83" s="24" t="s">
        <v>344</v>
      </c>
    </row>
    <row r="84" customFormat="false" ht="23.85" hidden="false" customHeight="false" outlineLevel="0" collapsed="false">
      <c r="A84" s="25" t="s">
        <v>19</v>
      </c>
      <c r="B84" s="23" t="s">
        <v>279</v>
      </c>
      <c r="C84" s="24" t="s">
        <v>237</v>
      </c>
      <c r="D84" s="24" t="s">
        <v>242</v>
      </c>
      <c r="E84" s="24" t="s">
        <v>151</v>
      </c>
      <c r="F84" s="24"/>
      <c r="G84" s="23" t="s">
        <v>238</v>
      </c>
      <c r="H84" s="23"/>
      <c r="I84" s="24" t="s">
        <v>154</v>
      </c>
      <c r="J84" s="24" t="s">
        <v>127</v>
      </c>
      <c r="K84" s="24" t="s">
        <v>127</v>
      </c>
      <c r="L84" s="24" t="s">
        <v>281</v>
      </c>
      <c r="M84" s="24" t="s">
        <v>309</v>
      </c>
      <c r="N84" s="24" t="s">
        <v>283</v>
      </c>
      <c r="O84" s="24" t="s">
        <v>73</v>
      </c>
      <c r="P84" s="24" t="s">
        <v>155</v>
      </c>
      <c r="Q84" s="23"/>
      <c r="R84" s="24" t="s">
        <v>345</v>
      </c>
    </row>
    <row r="85" customFormat="false" ht="23.85" hidden="false" customHeight="false" outlineLevel="0" collapsed="false">
      <c r="A85" s="25" t="s">
        <v>19</v>
      </c>
      <c r="B85" s="23" t="s">
        <v>279</v>
      </c>
      <c r="C85" s="24" t="s">
        <v>250</v>
      </c>
      <c r="D85" s="24" t="s">
        <v>346</v>
      </c>
      <c r="E85" s="24" t="s">
        <v>135</v>
      </c>
      <c r="F85" s="24"/>
      <c r="G85" s="23" t="s">
        <v>347</v>
      </c>
      <c r="H85" s="23" t="s">
        <v>348</v>
      </c>
      <c r="I85" s="24" t="s">
        <v>70</v>
      </c>
      <c r="J85" s="24" t="s">
        <v>127</v>
      </c>
      <c r="K85" s="24" t="s">
        <v>127</v>
      </c>
      <c r="L85" s="24" t="s">
        <v>281</v>
      </c>
      <c r="M85" s="24" t="s">
        <v>309</v>
      </c>
      <c r="N85" s="24" t="s">
        <v>283</v>
      </c>
      <c r="O85" s="24" t="s">
        <v>73</v>
      </c>
      <c r="P85" s="24"/>
      <c r="Q85" s="23"/>
      <c r="R85" s="24" t="s">
        <v>349</v>
      </c>
    </row>
    <row r="86" customFormat="false" ht="23.85" hidden="false" customHeight="false" outlineLevel="0" collapsed="false">
      <c r="A86" s="25" t="s">
        <v>19</v>
      </c>
      <c r="B86" s="23" t="s">
        <v>279</v>
      </c>
      <c r="C86" s="24" t="s">
        <v>255</v>
      </c>
      <c r="D86" s="24" t="s">
        <v>256</v>
      </c>
      <c r="E86" s="24" t="s">
        <v>135</v>
      </c>
      <c r="F86" s="24"/>
      <c r="G86" s="23" t="s">
        <v>257</v>
      </c>
      <c r="H86" s="23" t="s">
        <v>258</v>
      </c>
      <c r="I86" s="24" t="s">
        <v>70</v>
      </c>
      <c r="J86" s="24" t="s">
        <v>127</v>
      </c>
      <c r="K86" s="24" t="s">
        <v>127</v>
      </c>
      <c r="L86" s="24" t="s">
        <v>281</v>
      </c>
      <c r="M86" s="24" t="s">
        <v>282</v>
      </c>
      <c r="N86" s="24" t="s">
        <v>283</v>
      </c>
      <c r="O86" s="24" t="s">
        <v>73</v>
      </c>
      <c r="P86" s="24"/>
      <c r="Q86" s="23"/>
      <c r="R86" s="24" t="s">
        <v>350</v>
      </c>
    </row>
    <row r="87" customFormat="false" ht="23.85" hidden="false" customHeight="false" outlineLevel="0" collapsed="false">
      <c r="A87" s="25" t="s">
        <v>19</v>
      </c>
      <c r="B87" s="23" t="s">
        <v>279</v>
      </c>
      <c r="C87" s="24" t="s">
        <v>255</v>
      </c>
      <c r="D87" s="24" t="s">
        <v>65</v>
      </c>
      <c r="E87" s="24" t="s">
        <v>66</v>
      </c>
      <c r="F87" s="24"/>
      <c r="G87" s="23" t="s">
        <v>261</v>
      </c>
      <c r="H87" s="23" t="s">
        <v>262</v>
      </c>
      <c r="I87" s="24" t="s">
        <v>70</v>
      </c>
      <c r="J87" s="24"/>
      <c r="K87" s="24" t="s">
        <v>127</v>
      </c>
      <c r="L87" s="24" t="s">
        <v>281</v>
      </c>
      <c r="M87" s="24" t="s">
        <v>282</v>
      </c>
      <c r="N87" s="24" t="s">
        <v>283</v>
      </c>
      <c r="O87" s="24" t="s">
        <v>73</v>
      </c>
      <c r="P87" s="24"/>
      <c r="Q87" s="23" t="s">
        <v>292</v>
      </c>
      <c r="R87" s="24" t="s">
        <v>351</v>
      </c>
    </row>
    <row r="88" customFormat="false" ht="23.85" hidden="false" customHeight="false" outlineLevel="0" collapsed="false">
      <c r="A88" s="25" t="s">
        <v>19</v>
      </c>
      <c r="B88" s="23" t="s">
        <v>279</v>
      </c>
      <c r="C88" s="24" t="s">
        <v>255</v>
      </c>
      <c r="D88" s="24" t="s">
        <v>65</v>
      </c>
      <c r="E88" s="24" t="s">
        <v>66</v>
      </c>
      <c r="F88" s="24"/>
      <c r="G88" s="23" t="s">
        <v>261</v>
      </c>
      <c r="H88" s="23" t="s">
        <v>258</v>
      </c>
      <c r="I88" s="24" t="s">
        <v>70</v>
      </c>
      <c r="J88" s="24"/>
      <c r="K88" s="24" t="s">
        <v>127</v>
      </c>
      <c r="L88" s="24" t="s">
        <v>281</v>
      </c>
      <c r="M88" s="24" t="s">
        <v>282</v>
      </c>
      <c r="N88" s="24" t="s">
        <v>283</v>
      </c>
      <c r="O88" s="24" t="s">
        <v>73</v>
      </c>
      <c r="P88" s="24"/>
      <c r="Q88" s="23" t="s">
        <v>284</v>
      </c>
      <c r="R88" s="24" t="s">
        <v>352</v>
      </c>
    </row>
    <row r="89" customFormat="false" ht="23.85" hidden="false" customHeight="false" outlineLevel="0" collapsed="false">
      <c r="A89" s="25" t="s">
        <v>19</v>
      </c>
      <c r="B89" s="23" t="s">
        <v>279</v>
      </c>
      <c r="C89" s="24" t="s">
        <v>353</v>
      </c>
      <c r="D89" s="24" t="s">
        <v>134</v>
      </c>
      <c r="E89" s="24" t="s">
        <v>135</v>
      </c>
      <c r="F89" s="24"/>
      <c r="G89" s="23"/>
      <c r="H89" s="23"/>
      <c r="I89" s="24" t="s">
        <v>154</v>
      </c>
      <c r="J89" s="24"/>
      <c r="K89" s="24" t="s">
        <v>127</v>
      </c>
      <c r="L89" s="24" t="s">
        <v>281</v>
      </c>
      <c r="M89" s="24" t="s">
        <v>309</v>
      </c>
      <c r="N89" s="24" t="s">
        <v>283</v>
      </c>
      <c r="O89" s="24"/>
      <c r="P89" s="24"/>
      <c r="Q89" s="23"/>
      <c r="R89" s="24"/>
    </row>
    <row r="90" customFormat="false" ht="23.85" hidden="false" customHeight="false" outlineLevel="0" collapsed="false">
      <c r="A90" s="25" t="s">
        <v>19</v>
      </c>
      <c r="B90" s="23" t="s">
        <v>279</v>
      </c>
      <c r="C90" s="24" t="s">
        <v>264</v>
      </c>
      <c r="D90" s="24" t="s">
        <v>158</v>
      </c>
      <c r="E90" s="24" t="s">
        <v>151</v>
      </c>
      <c r="F90" s="24"/>
      <c r="G90" s="23" t="s">
        <v>354</v>
      </c>
      <c r="H90" s="23" t="s">
        <v>267</v>
      </c>
      <c r="I90" s="24" t="s">
        <v>70</v>
      </c>
      <c r="J90" s="24"/>
      <c r="K90" s="24" t="s">
        <v>127</v>
      </c>
      <c r="L90" s="24" t="s">
        <v>281</v>
      </c>
      <c r="M90" s="24" t="s">
        <v>309</v>
      </c>
      <c r="N90" s="24" t="s">
        <v>283</v>
      </c>
      <c r="O90" s="24" t="s">
        <v>73</v>
      </c>
      <c r="P90" s="24" t="s">
        <v>74</v>
      </c>
      <c r="Q90" s="23"/>
      <c r="R90" s="24" t="s">
        <v>355</v>
      </c>
    </row>
    <row r="91" customFormat="false" ht="23.85" hidden="false" customHeight="false" outlineLevel="0" collapsed="false">
      <c r="A91" s="25" t="s">
        <v>19</v>
      </c>
      <c r="B91" s="23" t="s">
        <v>279</v>
      </c>
      <c r="C91" s="24" t="s">
        <v>356</v>
      </c>
      <c r="D91" s="24" t="s">
        <v>144</v>
      </c>
      <c r="E91" s="24" t="s">
        <v>135</v>
      </c>
      <c r="F91" s="24"/>
      <c r="G91" s="23" t="s">
        <v>357</v>
      </c>
      <c r="H91" s="23" t="s">
        <v>358</v>
      </c>
      <c r="I91" s="24" t="s">
        <v>70</v>
      </c>
      <c r="J91" s="24"/>
      <c r="K91" s="24" t="s">
        <v>127</v>
      </c>
      <c r="L91" s="24" t="s">
        <v>281</v>
      </c>
      <c r="M91" s="24" t="s">
        <v>282</v>
      </c>
      <c r="N91" s="24" t="s">
        <v>283</v>
      </c>
      <c r="O91" s="24" t="s">
        <v>73</v>
      </c>
      <c r="P91" s="24"/>
      <c r="Q91" s="23" t="s">
        <v>292</v>
      </c>
      <c r="R91" s="24" t="s">
        <v>359</v>
      </c>
    </row>
    <row r="92" customFormat="false" ht="15" hidden="false" customHeight="false" outlineLevel="0" collapsed="false">
      <c r="A92" s="26" t="s">
        <v>23</v>
      </c>
      <c r="B92" s="23" t="s">
        <v>360</v>
      </c>
      <c r="C92" s="24" t="s">
        <v>64</v>
      </c>
      <c r="D92" s="24" t="s">
        <v>111</v>
      </c>
      <c r="E92" s="24" t="s">
        <v>112</v>
      </c>
      <c r="F92" s="24" t="s">
        <v>361</v>
      </c>
      <c r="G92" s="23" t="s">
        <v>361</v>
      </c>
      <c r="H92" s="23"/>
      <c r="I92" s="24" t="s">
        <v>154</v>
      </c>
      <c r="J92" s="24"/>
      <c r="K92" s="24"/>
      <c r="L92" s="24" t="s">
        <v>71</v>
      </c>
      <c r="M92" s="24" t="s">
        <v>72</v>
      </c>
      <c r="N92" s="24" t="s">
        <v>72</v>
      </c>
      <c r="O92" s="24" t="s">
        <v>73</v>
      </c>
      <c r="P92" s="24" t="s">
        <v>121</v>
      </c>
      <c r="Q92" s="23"/>
      <c r="R92" s="24" t="s">
        <v>362</v>
      </c>
    </row>
    <row r="93" customFormat="false" ht="23.85" hidden="false" customHeight="false" outlineLevel="0" collapsed="false">
      <c r="A93" s="26" t="s">
        <v>23</v>
      </c>
      <c r="B93" s="23" t="s">
        <v>360</v>
      </c>
      <c r="C93" s="24" t="s">
        <v>133</v>
      </c>
      <c r="D93" s="24" t="s">
        <v>134</v>
      </c>
      <c r="E93" s="24" t="s">
        <v>135</v>
      </c>
      <c r="F93" s="24" t="s">
        <v>363</v>
      </c>
      <c r="G93" s="23" t="s">
        <v>363</v>
      </c>
      <c r="H93" s="23" t="s">
        <v>138</v>
      </c>
      <c r="I93" s="24" t="s">
        <v>70</v>
      </c>
      <c r="J93" s="24"/>
      <c r="K93" s="24"/>
      <c r="L93" s="24" t="s">
        <v>71</v>
      </c>
      <c r="M93" s="24" t="s">
        <v>72</v>
      </c>
      <c r="N93" s="24" t="s">
        <v>72</v>
      </c>
      <c r="O93" s="24" t="s">
        <v>73</v>
      </c>
      <c r="P93" s="24"/>
      <c r="Q93" s="23"/>
      <c r="R93" s="24" t="s">
        <v>364</v>
      </c>
    </row>
    <row r="94" customFormat="false" ht="23.85" hidden="false" customHeight="false" outlineLevel="0" collapsed="false">
      <c r="A94" s="26" t="s">
        <v>23</v>
      </c>
      <c r="B94" s="23" t="s">
        <v>360</v>
      </c>
      <c r="C94" s="24" t="s">
        <v>133</v>
      </c>
      <c r="D94" s="24" t="s">
        <v>242</v>
      </c>
      <c r="E94" s="24" t="s">
        <v>151</v>
      </c>
      <c r="F94" s="24" t="s">
        <v>365</v>
      </c>
      <c r="G94" s="23" t="s">
        <v>365</v>
      </c>
      <c r="H94" s="23" t="s">
        <v>138</v>
      </c>
      <c r="I94" s="24" t="s">
        <v>70</v>
      </c>
      <c r="J94" s="24"/>
      <c r="K94" s="24"/>
      <c r="L94" s="24" t="s">
        <v>71</v>
      </c>
      <c r="M94" s="24" t="s">
        <v>72</v>
      </c>
      <c r="N94" s="24" t="s">
        <v>72</v>
      </c>
      <c r="O94" s="24" t="s">
        <v>73</v>
      </c>
      <c r="P94" s="24" t="s">
        <v>155</v>
      </c>
      <c r="Q94" s="23"/>
      <c r="R94" s="24" t="s">
        <v>366</v>
      </c>
    </row>
    <row r="95" customFormat="false" ht="23.85" hidden="false" customHeight="false" outlineLevel="0" collapsed="false">
      <c r="A95" s="26" t="s">
        <v>23</v>
      </c>
      <c r="B95" s="23" t="s">
        <v>360</v>
      </c>
      <c r="C95" s="24" t="s">
        <v>133</v>
      </c>
      <c r="D95" s="24" t="s">
        <v>150</v>
      </c>
      <c r="E95" s="24" t="s">
        <v>151</v>
      </c>
      <c r="F95" s="24" t="s">
        <v>367</v>
      </c>
      <c r="G95" s="23" t="s">
        <v>368</v>
      </c>
      <c r="H95" s="23" t="s">
        <v>138</v>
      </c>
      <c r="I95" s="24" t="s">
        <v>70</v>
      </c>
      <c r="J95" s="24"/>
      <c r="K95" s="24"/>
      <c r="L95" s="24" t="s">
        <v>71</v>
      </c>
      <c r="M95" s="24" t="s">
        <v>72</v>
      </c>
      <c r="N95" s="24" t="s">
        <v>72</v>
      </c>
      <c r="O95" s="24" t="s">
        <v>73</v>
      </c>
      <c r="P95" s="24" t="s">
        <v>155</v>
      </c>
      <c r="Q95" s="23"/>
      <c r="R95" s="24" t="s">
        <v>369</v>
      </c>
    </row>
    <row r="96" customFormat="false" ht="23.85" hidden="false" customHeight="false" outlineLevel="0" collapsed="false">
      <c r="A96" s="26" t="s">
        <v>23</v>
      </c>
      <c r="B96" s="23" t="s">
        <v>360</v>
      </c>
      <c r="C96" s="24" t="s">
        <v>133</v>
      </c>
      <c r="D96" s="24" t="s">
        <v>220</v>
      </c>
      <c r="E96" s="24" t="s">
        <v>151</v>
      </c>
      <c r="F96" s="24" t="s">
        <v>145</v>
      </c>
      <c r="G96" s="23" t="s">
        <v>370</v>
      </c>
      <c r="H96" s="23" t="s">
        <v>138</v>
      </c>
      <c r="I96" s="24" t="s">
        <v>70</v>
      </c>
      <c r="J96" s="24"/>
      <c r="K96" s="24"/>
      <c r="L96" s="24" t="s">
        <v>71</v>
      </c>
      <c r="M96" s="24" t="s">
        <v>72</v>
      </c>
      <c r="N96" s="24" t="s">
        <v>72</v>
      </c>
      <c r="O96" s="24" t="s">
        <v>73</v>
      </c>
      <c r="P96" s="24" t="s">
        <v>155</v>
      </c>
      <c r="Q96" s="23"/>
      <c r="R96" s="24" t="s">
        <v>371</v>
      </c>
    </row>
    <row r="97" customFormat="false" ht="15" hidden="false" customHeight="false" outlineLevel="0" collapsed="false">
      <c r="A97" s="26" t="s">
        <v>23</v>
      </c>
      <c r="B97" s="23" t="s">
        <v>360</v>
      </c>
      <c r="C97" s="24" t="s">
        <v>149</v>
      </c>
      <c r="D97" s="24" t="s">
        <v>150</v>
      </c>
      <c r="E97" s="24" t="s">
        <v>151</v>
      </c>
      <c r="F97" s="24"/>
      <c r="G97" s="23" t="s">
        <v>372</v>
      </c>
      <c r="H97" s="23"/>
      <c r="I97" s="24" t="s">
        <v>154</v>
      </c>
      <c r="J97" s="24"/>
      <c r="K97" s="24" t="s">
        <v>127</v>
      </c>
      <c r="L97" s="24" t="s">
        <v>281</v>
      </c>
      <c r="M97" s="24" t="s">
        <v>309</v>
      </c>
      <c r="N97" s="24" t="s">
        <v>283</v>
      </c>
      <c r="O97" s="24" t="s">
        <v>73</v>
      </c>
      <c r="P97" s="24" t="s">
        <v>155</v>
      </c>
      <c r="Q97" s="23"/>
      <c r="R97" s="24" t="s">
        <v>373</v>
      </c>
    </row>
    <row r="98" customFormat="false" ht="15" hidden="false" customHeight="false" outlineLevel="0" collapsed="false">
      <c r="A98" s="26" t="s">
        <v>23</v>
      </c>
      <c r="B98" s="23" t="s">
        <v>360</v>
      </c>
      <c r="C98" s="24" t="s">
        <v>374</v>
      </c>
      <c r="D98" s="24" t="s">
        <v>220</v>
      </c>
      <c r="E98" s="24" t="s">
        <v>151</v>
      </c>
      <c r="F98" s="24"/>
      <c r="G98" s="23" t="s">
        <v>375</v>
      </c>
      <c r="H98" s="23"/>
      <c r="I98" s="24" t="s">
        <v>154</v>
      </c>
      <c r="J98" s="24"/>
      <c r="K98" s="24" t="s">
        <v>127</v>
      </c>
      <c r="L98" s="24" t="s">
        <v>281</v>
      </c>
      <c r="M98" s="24" t="s">
        <v>309</v>
      </c>
      <c r="N98" s="24" t="s">
        <v>283</v>
      </c>
      <c r="O98" s="24" t="s">
        <v>73</v>
      </c>
      <c r="P98" s="24" t="s">
        <v>74</v>
      </c>
      <c r="Q98" s="23"/>
      <c r="R98" s="24" t="s">
        <v>376</v>
      </c>
    </row>
    <row r="99" customFormat="false" ht="15" hidden="false" customHeight="false" outlineLevel="0" collapsed="false">
      <c r="A99" s="26" t="s">
        <v>23</v>
      </c>
      <c r="B99" s="23" t="s">
        <v>360</v>
      </c>
      <c r="C99" s="24" t="s">
        <v>374</v>
      </c>
      <c r="D99" s="24" t="s">
        <v>65</v>
      </c>
      <c r="E99" s="24" t="s">
        <v>66</v>
      </c>
      <c r="F99" s="24" t="s">
        <v>377</v>
      </c>
      <c r="G99" s="23" t="s">
        <v>378</v>
      </c>
      <c r="H99" s="23"/>
      <c r="I99" s="24" t="s">
        <v>154</v>
      </c>
      <c r="J99" s="24"/>
      <c r="K99" s="24"/>
      <c r="L99" s="24" t="s">
        <v>71</v>
      </c>
      <c r="M99" s="24" t="s">
        <v>72</v>
      </c>
      <c r="N99" s="24" t="s">
        <v>72</v>
      </c>
      <c r="O99" s="24" t="s">
        <v>379</v>
      </c>
      <c r="P99" s="24" t="s">
        <v>74</v>
      </c>
      <c r="Q99" s="23"/>
      <c r="R99" s="24" t="s">
        <v>380</v>
      </c>
    </row>
    <row r="100" customFormat="false" ht="15" hidden="false" customHeight="false" outlineLevel="0" collapsed="false">
      <c r="A100" s="26" t="s">
        <v>23</v>
      </c>
      <c r="B100" s="23" t="s">
        <v>360</v>
      </c>
      <c r="C100" s="24" t="s">
        <v>302</v>
      </c>
      <c r="D100" s="24" t="s">
        <v>84</v>
      </c>
      <c r="E100" s="24" t="s">
        <v>66</v>
      </c>
      <c r="F100" s="24"/>
      <c r="G100" s="23" t="s">
        <v>381</v>
      </c>
      <c r="H100" s="23"/>
      <c r="I100" s="24" t="s">
        <v>154</v>
      </c>
      <c r="J100" s="24"/>
      <c r="K100" s="24" t="s">
        <v>127</v>
      </c>
      <c r="L100" s="24" t="s">
        <v>281</v>
      </c>
      <c r="M100" s="24" t="s">
        <v>283</v>
      </c>
      <c r="N100" s="24" t="s">
        <v>283</v>
      </c>
      <c r="O100" s="24" t="s">
        <v>379</v>
      </c>
      <c r="P100" s="24" t="s">
        <v>74</v>
      </c>
      <c r="Q100" s="23"/>
      <c r="R100" s="24" t="s">
        <v>382</v>
      </c>
    </row>
    <row r="101" customFormat="false" ht="15" hidden="false" customHeight="false" outlineLevel="0" collapsed="false">
      <c r="A101" s="26" t="s">
        <v>23</v>
      </c>
      <c r="B101" s="23" t="s">
        <v>360</v>
      </c>
      <c r="C101" s="24" t="s">
        <v>250</v>
      </c>
      <c r="D101" s="24" t="s">
        <v>124</v>
      </c>
      <c r="E101" s="24" t="s">
        <v>66</v>
      </c>
      <c r="F101" s="24" t="s">
        <v>383</v>
      </c>
      <c r="G101" s="23" t="s">
        <v>384</v>
      </c>
      <c r="H101" s="23"/>
      <c r="I101" s="24" t="s">
        <v>154</v>
      </c>
      <c r="J101" s="24"/>
      <c r="K101" s="24"/>
      <c r="L101" s="24" t="s">
        <v>71</v>
      </c>
      <c r="M101" s="24" t="s">
        <v>72</v>
      </c>
      <c r="N101" s="24" t="s">
        <v>72</v>
      </c>
      <c r="O101" s="24" t="s">
        <v>73</v>
      </c>
      <c r="P101" s="24" t="s">
        <v>74</v>
      </c>
      <c r="Q101" s="23"/>
      <c r="R101" s="24" t="s">
        <v>385</v>
      </c>
    </row>
    <row r="102" customFormat="false" ht="15" hidden="false" customHeight="false" outlineLevel="0" collapsed="false">
      <c r="A102" s="26" t="s">
        <v>23</v>
      </c>
      <c r="B102" s="23" t="s">
        <v>360</v>
      </c>
      <c r="C102" s="24" t="s">
        <v>264</v>
      </c>
      <c r="D102" s="24" t="s">
        <v>158</v>
      </c>
      <c r="E102" s="24" t="s">
        <v>151</v>
      </c>
      <c r="F102" s="24" t="s">
        <v>386</v>
      </c>
      <c r="G102" s="23" t="s">
        <v>386</v>
      </c>
      <c r="H102" s="23"/>
      <c r="I102" s="24" t="s">
        <v>154</v>
      </c>
      <c r="J102" s="24"/>
      <c r="K102" s="24"/>
      <c r="L102" s="24" t="s">
        <v>71</v>
      </c>
      <c r="M102" s="24" t="s">
        <v>72</v>
      </c>
      <c r="N102" s="24" t="s">
        <v>72</v>
      </c>
      <c r="O102" s="24" t="s">
        <v>73</v>
      </c>
      <c r="P102" s="24" t="s">
        <v>74</v>
      </c>
      <c r="Q102" s="23"/>
      <c r="R102" s="24" t="s">
        <v>387</v>
      </c>
    </row>
    <row r="103" customFormat="false" ht="15" hidden="false" customHeight="false" outlineLevel="0" collapsed="false">
      <c r="A103" s="25" t="s">
        <v>21</v>
      </c>
      <c r="B103" s="23" t="s">
        <v>388</v>
      </c>
      <c r="C103" s="24" t="s">
        <v>64</v>
      </c>
      <c r="D103" s="24" t="s">
        <v>111</v>
      </c>
      <c r="E103" s="24" t="s">
        <v>112</v>
      </c>
      <c r="F103" s="24"/>
      <c r="G103" s="23" t="s">
        <v>280</v>
      </c>
      <c r="H103" s="23" t="s">
        <v>69</v>
      </c>
      <c r="I103" s="24" t="s">
        <v>70</v>
      </c>
      <c r="J103" s="24"/>
      <c r="K103" s="24" t="s">
        <v>127</v>
      </c>
      <c r="L103" s="24" t="s">
        <v>281</v>
      </c>
      <c r="M103" s="24" t="s">
        <v>283</v>
      </c>
      <c r="N103" s="24" t="s">
        <v>283</v>
      </c>
      <c r="O103" s="24" t="s">
        <v>73</v>
      </c>
      <c r="P103" s="24" t="s">
        <v>74</v>
      </c>
      <c r="Q103" s="23"/>
      <c r="R103" s="24" t="s">
        <v>389</v>
      </c>
    </row>
    <row r="104" customFormat="false" ht="15" hidden="false" customHeight="false" outlineLevel="0" collapsed="false">
      <c r="A104" s="25" t="s">
        <v>21</v>
      </c>
      <c r="B104" s="23" t="s">
        <v>388</v>
      </c>
      <c r="C104" s="24" t="s">
        <v>184</v>
      </c>
      <c r="D104" s="24" t="s">
        <v>150</v>
      </c>
      <c r="E104" s="24" t="s">
        <v>151</v>
      </c>
      <c r="F104" s="24"/>
      <c r="G104" s="23" t="s">
        <v>390</v>
      </c>
      <c r="H104" s="23" t="s">
        <v>194</v>
      </c>
      <c r="I104" s="24" t="s">
        <v>70</v>
      </c>
      <c r="J104" s="24"/>
      <c r="K104" s="24" t="s">
        <v>127</v>
      </c>
      <c r="L104" s="24" t="s">
        <v>281</v>
      </c>
      <c r="M104" s="24" t="s">
        <v>283</v>
      </c>
      <c r="N104" s="24" t="s">
        <v>283</v>
      </c>
      <c r="O104" s="24" t="s">
        <v>73</v>
      </c>
      <c r="P104" s="24" t="s">
        <v>155</v>
      </c>
      <c r="Q104" s="23"/>
      <c r="R104" s="24" t="s">
        <v>391</v>
      </c>
    </row>
    <row r="105" customFormat="false" ht="15" hidden="false" customHeight="false" outlineLevel="0" collapsed="false">
      <c r="A105" s="25" t="s">
        <v>21</v>
      </c>
      <c r="B105" s="23" t="s">
        <v>388</v>
      </c>
      <c r="C105" s="24" t="s">
        <v>184</v>
      </c>
      <c r="D105" s="24" t="s">
        <v>150</v>
      </c>
      <c r="E105" s="24" t="s">
        <v>151</v>
      </c>
      <c r="F105" s="24"/>
      <c r="G105" s="23" t="s">
        <v>392</v>
      </c>
      <c r="H105" s="23" t="s">
        <v>194</v>
      </c>
      <c r="I105" s="24" t="s">
        <v>70</v>
      </c>
      <c r="J105" s="24"/>
      <c r="K105" s="24" t="s">
        <v>127</v>
      </c>
      <c r="L105" s="24" t="s">
        <v>281</v>
      </c>
      <c r="M105" s="24" t="s">
        <v>283</v>
      </c>
      <c r="N105" s="24" t="s">
        <v>283</v>
      </c>
      <c r="O105" s="24" t="s">
        <v>73</v>
      </c>
      <c r="P105" s="24" t="s">
        <v>155</v>
      </c>
      <c r="Q105" s="23"/>
      <c r="R105" s="24" t="s">
        <v>393</v>
      </c>
    </row>
    <row r="106" customFormat="false" ht="23.85" hidden="false" customHeight="false" outlineLevel="0" collapsed="false">
      <c r="A106" s="25" t="s">
        <v>21</v>
      </c>
      <c r="B106" s="23" t="s">
        <v>388</v>
      </c>
      <c r="C106" s="24" t="s">
        <v>184</v>
      </c>
      <c r="D106" s="24" t="s">
        <v>220</v>
      </c>
      <c r="E106" s="24" t="s">
        <v>151</v>
      </c>
      <c r="F106" s="24"/>
      <c r="G106" s="23" t="s">
        <v>394</v>
      </c>
      <c r="H106" s="23" t="s">
        <v>395</v>
      </c>
      <c r="I106" s="24" t="s">
        <v>70</v>
      </c>
      <c r="J106" s="24"/>
      <c r="K106" s="24" t="s">
        <v>127</v>
      </c>
      <c r="L106" s="24" t="s">
        <v>281</v>
      </c>
      <c r="M106" s="24" t="s">
        <v>283</v>
      </c>
      <c r="N106" s="24" t="s">
        <v>283</v>
      </c>
      <c r="O106" s="24" t="s">
        <v>73</v>
      </c>
      <c r="P106" s="24" t="s">
        <v>74</v>
      </c>
      <c r="Q106" s="23"/>
      <c r="R106" s="24" t="s">
        <v>396</v>
      </c>
    </row>
    <row r="107" customFormat="false" ht="15" hidden="false" customHeight="false" outlineLevel="0" collapsed="false">
      <c r="A107" s="25" t="s">
        <v>21</v>
      </c>
      <c r="B107" s="23" t="s">
        <v>388</v>
      </c>
      <c r="C107" s="24" t="s">
        <v>184</v>
      </c>
      <c r="D107" s="24" t="s">
        <v>158</v>
      </c>
      <c r="E107" s="24" t="s">
        <v>151</v>
      </c>
      <c r="F107" s="24"/>
      <c r="G107" s="23" t="s">
        <v>193</v>
      </c>
      <c r="H107" s="23" t="s">
        <v>194</v>
      </c>
      <c r="I107" s="24" t="s">
        <v>70</v>
      </c>
      <c r="J107" s="24"/>
      <c r="K107" s="24" t="s">
        <v>127</v>
      </c>
      <c r="L107" s="24" t="s">
        <v>281</v>
      </c>
      <c r="M107" s="24" t="s">
        <v>283</v>
      </c>
      <c r="N107" s="24" t="s">
        <v>283</v>
      </c>
      <c r="O107" s="24" t="s">
        <v>73</v>
      </c>
      <c r="P107" s="24" t="s">
        <v>74</v>
      </c>
      <c r="Q107" s="23"/>
      <c r="R107" s="24" t="s">
        <v>397</v>
      </c>
    </row>
    <row r="108" customFormat="false" ht="15" hidden="false" customHeight="false" outlineLevel="0" collapsed="false">
      <c r="A108" s="25" t="s">
        <v>21</v>
      </c>
      <c r="B108" s="23" t="s">
        <v>388</v>
      </c>
      <c r="C108" s="24" t="s">
        <v>184</v>
      </c>
      <c r="D108" s="24" t="s">
        <v>158</v>
      </c>
      <c r="E108" s="24" t="s">
        <v>151</v>
      </c>
      <c r="F108" s="24"/>
      <c r="G108" s="23" t="s">
        <v>398</v>
      </c>
      <c r="H108" s="23" t="s">
        <v>187</v>
      </c>
      <c r="I108" s="24" t="s">
        <v>70</v>
      </c>
      <c r="J108" s="24"/>
      <c r="K108" s="24" t="s">
        <v>127</v>
      </c>
      <c r="L108" s="24" t="s">
        <v>281</v>
      </c>
      <c r="M108" s="24" t="s">
        <v>283</v>
      </c>
      <c r="N108" s="24" t="s">
        <v>283</v>
      </c>
      <c r="O108" s="24" t="s">
        <v>73</v>
      </c>
      <c r="P108" s="24" t="s">
        <v>74</v>
      </c>
      <c r="Q108" s="23"/>
      <c r="R108" s="24" t="s">
        <v>399</v>
      </c>
    </row>
    <row r="109" customFormat="false" ht="15" hidden="false" customHeight="false" outlineLevel="0" collapsed="false">
      <c r="A109" s="25" t="s">
        <v>21</v>
      </c>
      <c r="B109" s="23" t="s">
        <v>388</v>
      </c>
      <c r="C109" s="24" t="s">
        <v>224</v>
      </c>
      <c r="D109" s="24" t="s">
        <v>400</v>
      </c>
      <c r="E109" s="24" t="s">
        <v>135</v>
      </c>
      <c r="F109" s="24"/>
      <c r="G109" s="23" t="s">
        <v>401</v>
      </c>
      <c r="H109" s="23" t="s">
        <v>402</v>
      </c>
      <c r="I109" s="24" t="s">
        <v>70</v>
      </c>
      <c r="J109" s="24"/>
      <c r="K109" s="24" t="s">
        <v>127</v>
      </c>
      <c r="L109" s="24" t="s">
        <v>281</v>
      </c>
      <c r="M109" s="24" t="s">
        <v>283</v>
      </c>
      <c r="N109" s="24" t="s">
        <v>283</v>
      </c>
      <c r="O109" s="24" t="s">
        <v>73</v>
      </c>
      <c r="P109" s="24"/>
      <c r="Q109" s="23"/>
      <c r="R109" s="24" t="s">
        <v>403</v>
      </c>
    </row>
    <row r="110" customFormat="false" ht="15" hidden="false" customHeight="false" outlineLevel="0" collapsed="false">
      <c r="A110" s="25" t="s">
        <v>21</v>
      </c>
      <c r="B110" s="23" t="s">
        <v>388</v>
      </c>
      <c r="C110" s="24" t="s">
        <v>224</v>
      </c>
      <c r="D110" s="24" t="s">
        <v>400</v>
      </c>
      <c r="E110" s="24" t="s">
        <v>135</v>
      </c>
      <c r="F110" s="24"/>
      <c r="G110" s="23" t="s">
        <v>404</v>
      </c>
      <c r="H110" s="23" t="s">
        <v>402</v>
      </c>
      <c r="I110" s="24" t="s">
        <v>70</v>
      </c>
      <c r="J110" s="24"/>
      <c r="K110" s="24" t="s">
        <v>127</v>
      </c>
      <c r="L110" s="24" t="s">
        <v>281</v>
      </c>
      <c r="M110" s="24" t="s">
        <v>283</v>
      </c>
      <c r="N110" s="24" t="s">
        <v>283</v>
      </c>
      <c r="O110" s="24" t="s">
        <v>73</v>
      </c>
      <c r="P110" s="24"/>
      <c r="Q110" s="23"/>
      <c r="R110" s="24" t="s">
        <v>405</v>
      </c>
    </row>
    <row r="111" customFormat="false" ht="15" hidden="false" customHeight="false" outlineLevel="0" collapsed="false">
      <c r="A111" s="25" t="s">
        <v>21</v>
      </c>
      <c r="B111" s="23" t="s">
        <v>388</v>
      </c>
      <c r="C111" s="24" t="s">
        <v>224</v>
      </c>
      <c r="D111" s="24" t="s">
        <v>220</v>
      </c>
      <c r="E111" s="24" t="s">
        <v>151</v>
      </c>
      <c r="F111" s="24"/>
      <c r="G111" s="23" t="s">
        <v>406</v>
      </c>
      <c r="H111" s="23" t="s">
        <v>227</v>
      </c>
      <c r="I111" s="24" t="s">
        <v>70</v>
      </c>
      <c r="J111" s="24"/>
      <c r="K111" s="24" t="s">
        <v>127</v>
      </c>
      <c r="L111" s="24" t="s">
        <v>281</v>
      </c>
      <c r="M111" s="24" t="s">
        <v>283</v>
      </c>
      <c r="N111" s="24" t="s">
        <v>283</v>
      </c>
      <c r="O111" s="24" t="s">
        <v>73</v>
      </c>
      <c r="P111" s="24" t="s">
        <v>74</v>
      </c>
      <c r="Q111" s="23"/>
      <c r="R111" s="24" t="s">
        <v>407</v>
      </c>
    </row>
    <row r="112" customFormat="false" ht="15" hidden="false" customHeight="false" outlineLevel="0" collapsed="false">
      <c r="A112" s="25" t="s">
        <v>21</v>
      </c>
      <c r="B112" s="23" t="s">
        <v>388</v>
      </c>
      <c r="C112" s="24" t="s">
        <v>224</v>
      </c>
      <c r="D112" s="24" t="s">
        <v>158</v>
      </c>
      <c r="E112" s="24" t="s">
        <v>151</v>
      </c>
      <c r="F112" s="24"/>
      <c r="G112" s="23" t="s">
        <v>333</v>
      </c>
      <c r="H112" s="23" t="s">
        <v>331</v>
      </c>
      <c r="I112" s="24" t="s">
        <v>70</v>
      </c>
      <c r="J112" s="24"/>
      <c r="K112" s="24" t="s">
        <v>127</v>
      </c>
      <c r="L112" s="24" t="s">
        <v>281</v>
      </c>
      <c r="M112" s="24" t="s">
        <v>283</v>
      </c>
      <c r="N112" s="24" t="s">
        <v>283</v>
      </c>
      <c r="O112" s="24" t="s">
        <v>73</v>
      </c>
      <c r="P112" s="24" t="s">
        <v>74</v>
      </c>
      <c r="Q112" s="23"/>
      <c r="R112" s="24" t="s">
        <v>408</v>
      </c>
    </row>
    <row r="113" customFormat="false" ht="23.85" hidden="false" customHeight="false" outlineLevel="0" collapsed="false">
      <c r="A113" s="25" t="s">
        <v>21</v>
      </c>
      <c r="B113" s="23" t="s">
        <v>388</v>
      </c>
      <c r="C113" s="24" t="s">
        <v>229</v>
      </c>
      <c r="D113" s="24" t="s">
        <v>111</v>
      </c>
      <c r="E113" s="24" t="s">
        <v>112</v>
      </c>
      <c r="F113" s="24"/>
      <c r="G113" s="23" t="s">
        <v>409</v>
      </c>
      <c r="H113" s="23" t="s">
        <v>235</v>
      </c>
      <c r="I113" s="24" t="s">
        <v>70</v>
      </c>
      <c r="J113" s="24"/>
      <c r="K113" s="24" t="s">
        <v>127</v>
      </c>
      <c r="L113" s="24" t="s">
        <v>281</v>
      </c>
      <c r="M113" s="24" t="s">
        <v>283</v>
      </c>
      <c r="N113" s="24" t="s">
        <v>283</v>
      </c>
      <c r="O113" s="24" t="s">
        <v>73</v>
      </c>
      <c r="P113" s="24" t="s">
        <v>121</v>
      </c>
      <c r="Q113" s="23"/>
      <c r="R113" s="24" t="s">
        <v>410</v>
      </c>
    </row>
    <row r="114" customFormat="false" ht="15" hidden="false" customHeight="false" outlineLevel="0" collapsed="false">
      <c r="A114" s="25" t="s">
        <v>21</v>
      </c>
      <c r="B114" s="23" t="s">
        <v>388</v>
      </c>
      <c r="C114" s="24" t="s">
        <v>250</v>
      </c>
      <c r="D114" s="24" t="s">
        <v>111</v>
      </c>
      <c r="E114" s="24" t="s">
        <v>112</v>
      </c>
      <c r="F114" s="24"/>
      <c r="G114" s="23" t="s">
        <v>411</v>
      </c>
      <c r="H114" s="23" t="s">
        <v>412</v>
      </c>
      <c r="I114" s="24" t="s">
        <v>70</v>
      </c>
      <c r="J114" s="24" t="s">
        <v>127</v>
      </c>
      <c r="K114" s="24" t="s">
        <v>127</v>
      </c>
      <c r="L114" s="24" t="s">
        <v>281</v>
      </c>
      <c r="M114" s="24" t="s">
        <v>283</v>
      </c>
      <c r="N114" s="24" t="s">
        <v>283</v>
      </c>
      <c r="O114" s="24" t="s">
        <v>73</v>
      </c>
      <c r="P114" s="24" t="s">
        <v>74</v>
      </c>
      <c r="Q114" s="23"/>
      <c r="R114" s="24" t="s">
        <v>413</v>
      </c>
    </row>
    <row r="115" customFormat="false" ht="23.85" hidden="false" customHeight="false" outlineLevel="0" collapsed="false">
      <c r="A115" s="25" t="s">
        <v>21</v>
      </c>
      <c r="B115" s="23" t="s">
        <v>388</v>
      </c>
      <c r="C115" s="24" t="s">
        <v>264</v>
      </c>
      <c r="D115" s="24" t="s">
        <v>111</v>
      </c>
      <c r="E115" s="24" t="s">
        <v>112</v>
      </c>
      <c r="F115" s="24"/>
      <c r="G115" s="23" t="s">
        <v>414</v>
      </c>
      <c r="H115" s="23" t="s">
        <v>267</v>
      </c>
      <c r="I115" s="24" t="s">
        <v>70</v>
      </c>
      <c r="J115" s="24"/>
      <c r="K115" s="24" t="s">
        <v>127</v>
      </c>
      <c r="L115" s="24" t="s">
        <v>281</v>
      </c>
      <c r="M115" s="24" t="s">
        <v>283</v>
      </c>
      <c r="N115" s="24" t="s">
        <v>283</v>
      </c>
      <c r="O115" s="24" t="s">
        <v>73</v>
      </c>
      <c r="P115" s="24" t="s">
        <v>74</v>
      </c>
      <c r="Q115" s="23"/>
      <c r="R115" s="24" t="s">
        <v>415</v>
      </c>
    </row>
  </sheetData>
  <autoFilter ref="A1:R1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27" t="s">
        <v>416</v>
      </c>
    </row>
    <row r="2" customFormat="false" ht="15" hidden="false" customHeight="false" outlineLevel="0" collapsed="false">
      <c r="A2" s="2" t="s">
        <v>417</v>
      </c>
    </row>
    <row r="4" customFormat="false" ht="23.85" hidden="false" customHeight="false" outlineLevel="0" collapsed="false">
      <c r="A4" s="10" t="s">
        <v>418</v>
      </c>
      <c r="B4" s="10" t="s">
        <v>419</v>
      </c>
      <c r="C4" s="10" t="s">
        <v>420</v>
      </c>
      <c r="D4" s="10" t="s">
        <v>421</v>
      </c>
      <c r="E4" s="10" t="s">
        <v>17</v>
      </c>
      <c r="F4" s="10" t="s">
        <v>19</v>
      </c>
      <c r="G4" s="10" t="s">
        <v>21</v>
      </c>
      <c r="H4" s="10" t="s">
        <v>23</v>
      </c>
    </row>
    <row r="5" customFormat="false" ht="15" hidden="false" customHeight="false" outlineLevel="0" collapsed="false">
      <c r="A5" s="28" t="s">
        <v>422</v>
      </c>
      <c r="B5" s="29" t="n">
        <v>68</v>
      </c>
      <c r="C5" s="12" t="n">
        <f aca="false">COUNTIF('Unlinked Calls'!$C$2:$C$115,$A5)</f>
        <v>0</v>
      </c>
      <c r="D5" s="13" t="n">
        <f aca="false">IFERROR(C5/B5,0)</f>
        <v>0</v>
      </c>
      <c r="E5" s="12" t="n">
        <f aca="false">COUNTIFS('Unlinked Calls'!$C$2:$C$115,$A5,'Unlinked Calls'!$A$2:$A$115,"Completed but never linked")</f>
        <v>0</v>
      </c>
      <c r="F5" s="12" t="n">
        <f aca="false">COUNTIFS('Unlinked Calls'!$C$2:$C$115,$A5,'Unlinked Calls'!$A$2:$A$115,"No audio captured")</f>
        <v>0</v>
      </c>
      <c r="G5" s="12" t="n">
        <f aca="false">COUNTIFS('Unlinked Calls'!$C$2:$C$115,$A5,'Unlinked Calls'!$A$2:$A$115,"Stuck processing")</f>
        <v>0</v>
      </c>
      <c r="H5" s="12" t="n">
        <f aca="false">COUNTIFS('Unlinked Calls'!$C$2:$C$115,$A5,'Unlinked Calls'!$A$2:$A$115,"Not a screen")</f>
        <v>0</v>
      </c>
    </row>
    <row r="6" customFormat="false" ht="15" hidden="false" customHeight="false" outlineLevel="0" collapsed="false">
      <c r="A6" s="28" t="s">
        <v>255</v>
      </c>
      <c r="B6" s="29" t="n">
        <v>40</v>
      </c>
      <c r="C6" s="12" t="n">
        <f aca="false">COUNTIF('Unlinked Calls'!$C$2:$C$115,$A6)</f>
        <v>5</v>
      </c>
      <c r="D6" s="13" t="n">
        <f aca="false">IFERROR(C6/B6,0)</f>
        <v>0.125</v>
      </c>
      <c r="E6" s="12" t="n">
        <f aca="false">COUNTIFS('Unlinked Calls'!$C$2:$C$115,$A6,'Unlinked Calls'!$A$2:$A$115,"Completed but never linked")</f>
        <v>2</v>
      </c>
      <c r="F6" s="12" t="n">
        <f aca="false">COUNTIFS('Unlinked Calls'!$C$2:$C$115,$A6,'Unlinked Calls'!$A$2:$A$115,"No audio captured")</f>
        <v>3</v>
      </c>
      <c r="G6" s="12" t="n">
        <f aca="false">COUNTIFS('Unlinked Calls'!$C$2:$C$115,$A6,'Unlinked Calls'!$A$2:$A$115,"Stuck processing")</f>
        <v>0</v>
      </c>
      <c r="H6" s="12" t="n">
        <f aca="false">COUNTIFS('Unlinked Calls'!$C$2:$C$115,$A6,'Unlinked Calls'!$A$2:$A$115,"Not a screen")</f>
        <v>0</v>
      </c>
    </row>
    <row r="7" customFormat="false" ht="15" hidden="false" customHeight="false" outlineLevel="0" collapsed="false">
      <c r="A7" s="28" t="s">
        <v>64</v>
      </c>
      <c r="B7" s="29" t="n">
        <v>38</v>
      </c>
      <c r="C7" s="12" t="n">
        <f aca="false">COUNTIF('Unlinked Calls'!$C$2:$C$115,$A7)</f>
        <v>17</v>
      </c>
      <c r="D7" s="13" t="n">
        <f aca="false">IFERROR(C7/B7,0)</f>
        <v>0.447368421052632</v>
      </c>
      <c r="E7" s="12" t="n">
        <f aca="false">COUNTIFS('Unlinked Calls'!$C$2:$C$115,$A7,'Unlinked Calls'!$A$2:$A$115,"Completed but never linked")</f>
        <v>14</v>
      </c>
      <c r="F7" s="12" t="n">
        <f aca="false">COUNTIFS('Unlinked Calls'!$C$2:$C$115,$A7,'Unlinked Calls'!$A$2:$A$115,"No audio captured")</f>
        <v>1</v>
      </c>
      <c r="G7" s="12" t="n">
        <f aca="false">COUNTIFS('Unlinked Calls'!$C$2:$C$115,$A7,'Unlinked Calls'!$A$2:$A$115,"Stuck processing")</f>
        <v>1</v>
      </c>
      <c r="H7" s="12" t="n">
        <f aca="false">COUNTIFS('Unlinked Calls'!$C$2:$C$115,$A7,'Unlinked Calls'!$A$2:$A$115,"Not a screen")</f>
        <v>1</v>
      </c>
    </row>
    <row r="8" customFormat="false" ht="15" hidden="false" customHeight="false" outlineLevel="0" collapsed="false">
      <c r="A8" s="28" t="s">
        <v>184</v>
      </c>
      <c r="B8" s="29" t="n">
        <v>34</v>
      </c>
      <c r="C8" s="12" t="n">
        <f aca="false">COUNTIF('Unlinked Calls'!$C$2:$C$115,$A8)</f>
        <v>22</v>
      </c>
      <c r="D8" s="13" t="n">
        <f aca="false">IFERROR(C8/B8,0)</f>
        <v>0.647058823529412</v>
      </c>
      <c r="E8" s="12" t="n">
        <f aca="false">COUNTIFS('Unlinked Calls'!$C$2:$C$115,$A8,'Unlinked Calls'!$A$2:$A$115,"Completed but never linked")</f>
        <v>12</v>
      </c>
      <c r="F8" s="12" t="n">
        <f aca="false">COUNTIFS('Unlinked Calls'!$C$2:$C$115,$A8,'Unlinked Calls'!$A$2:$A$115,"No audio captured")</f>
        <v>5</v>
      </c>
      <c r="G8" s="12" t="n">
        <f aca="false">COUNTIFS('Unlinked Calls'!$C$2:$C$115,$A8,'Unlinked Calls'!$A$2:$A$115,"Stuck processing")</f>
        <v>5</v>
      </c>
      <c r="H8" s="12" t="n">
        <f aca="false">COUNTIFS('Unlinked Calls'!$C$2:$C$115,$A8,'Unlinked Calls'!$A$2:$A$115,"Not a screen")</f>
        <v>0</v>
      </c>
    </row>
    <row r="9" customFormat="false" ht="15" hidden="false" customHeight="false" outlineLevel="0" collapsed="false">
      <c r="A9" s="28" t="s">
        <v>219</v>
      </c>
      <c r="B9" s="29" t="n">
        <v>31</v>
      </c>
      <c r="C9" s="12" t="n">
        <f aca="false">COUNTIF('Unlinked Calls'!$C$2:$C$115,$A9)</f>
        <v>1</v>
      </c>
      <c r="D9" s="13" t="n">
        <f aca="false">IFERROR(C9/B9,0)</f>
        <v>0.032258064516129</v>
      </c>
      <c r="E9" s="12" t="n">
        <f aca="false">COUNTIFS('Unlinked Calls'!$C$2:$C$115,$A9,'Unlinked Calls'!$A$2:$A$115,"Completed but never linked")</f>
        <v>1</v>
      </c>
      <c r="F9" s="12" t="n">
        <f aca="false">COUNTIFS('Unlinked Calls'!$C$2:$C$115,$A9,'Unlinked Calls'!$A$2:$A$115,"No audio captured")</f>
        <v>0</v>
      </c>
      <c r="G9" s="12" t="n">
        <f aca="false">COUNTIFS('Unlinked Calls'!$C$2:$C$115,$A9,'Unlinked Calls'!$A$2:$A$115,"Stuck processing")</f>
        <v>0</v>
      </c>
      <c r="H9" s="12" t="n">
        <f aca="false">COUNTIFS('Unlinked Calls'!$C$2:$C$115,$A9,'Unlinked Calls'!$A$2:$A$115,"Not a screen")</f>
        <v>0</v>
      </c>
    </row>
    <row r="10" customFormat="false" ht="15" hidden="false" customHeight="false" outlineLevel="0" collapsed="false">
      <c r="A10" s="28" t="s">
        <v>133</v>
      </c>
      <c r="B10" s="29" t="n">
        <v>28</v>
      </c>
      <c r="C10" s="12" t="n">
        <f aca="false">COUNTIF('Unlinked Calls'!$C$2:$C$115,$A10)</f>
        <v>7</v>
      </c>
      <c r="D10" s="13" t="n">
        <f aca="false">IFERROR(C10/B10,0)</f>
        <v>0.25</v>
      </c>
      <c r="E10" s="12" t="n">
        <f aca="false">COUNTIFS('Unlinked Calls'!$C$2:$C$115,$A10,'Unlinked Calls'!$A$2:$A$115,"Completed but never linked")</f>
        <v>3</v>
      </c>
      <c r="F10" s="12" t="n">
        <f aca="false">COUNTIFS('Unlinked Calls'!$C$2:$C$115,$A10,'Unlinked Calls'!$A$2:$A$115,"No audio captured")</f>
        <v>0</v>
      </c>
      <c r="G10" s="12" t="n">
        <f aca="false">COUNTIFS('Unlinked Calls'!$C$2:$C$115,$A10,'Unlinked Calls'!$A$2:$A$115,"Stuck processing")</f>
        <v>0</v>
      </c>
      <c r="H10" s="12" t="n">
        <f aca="false">COUNTIFS('Unlinked Calls'!$C$2:$C$115,$A10,'Unlinked Calls'!$A$2:$A$115,"Not a screen")</f>
        <v>4</v>
      </c>
    </row>
    <row r="11" customFormat="false" ht="15" hidden="false" customHeight="false" outlineLevel="0" collapsed="false">
      <c r="A11" s="28" t="s">
        <v>250</v>
      </c>
      <c r="B11" s="29" t="n">
        <v>28</v>
      </c>
      <c r="C11" s="12" t="n">
        <f aca="false">COUNTIF('Unlinked Calls'!$C$2:$C$115,$A11)</f>
        <v>5</v>
      </c>
      <c r="D11" s="13" t="n">
        <f aca="false">IFERROR(C11/B11,0)</f>
        <v>0.178571428571429</v>
      </c>
      <c r="E11" s="12" t="n">
        <f aca="false">COUNTIFS('Unlinked Calls'!$C$2:$C$115,$A11,'Unlinked Calls'!$A$2:$A$115,"Completed but never linked")</f>
        <v>2</v>
      </c>
      <c r="F11" s="12" t="n">
        <f aca="false">COUNTIFS('Unlinked Calls'!$C$2:$C$115,$A11,'Unlinked Calls'!$A$2:$A$115,"No audio captured")</f>
        <v>1</v>
      </c>
      <c r="G11" s="12" t="n">
        <f aca="false">COUNTIFS('Unlinked Calls'!$C$2:$C$115,$A11,'Unlinked Calls'!$A$2:$A$115,"Stuck processing")</f>
        <v>1</v>
      </c>
      <c r="H11" s="12" t="n">
        <f aca="false">COUNTIFS('Unlinked Calls'!$C$2:$C$115,$A11,'Unlinked Calls'!$A$2:$A$115,"Not a screen")</f>
        <v>1</v>
      </c>
    </row>
    <row r="12" customFormat="false" ht="15" hidden="false" customHeight="false" outlineLevel="0" collapsed="false">
      <c r="A12" s="28" t="s">
        <v>176</v>
      </c>
      <c r="B12" s="29" t="n">
        <v>25</v>
      </c>
      <c r="C12" s="12" t="n">
        <f aca="false">COUNTIF('Unlinked Calls'!$C$2:$C$115,$A12)</f>
        <v>9</v>
      </c>
      <c r="D12" s="13" t="n">
        <f aca="false">IFERROR(C12/B12,0)</f>
        <v>0.36</v>
      </c>
      <c r="E12" s="12" t="n">
        <f aca="false">COUNTIFS('Unlinked Calls'!$C$2:$C$115,$A12,'Unlinked Calls'!$A$2:$A$115,"Completed but never linked")</f>
        <v>2</v>
      </c>
      <c r="F12" s="12" t="n">
        <f aca="false">COUNTIFS('Unlinked Calls'!$C$2:$C$115,$A12,'Unlinked Calls'!$A$2:$A$115,"No audio captured")</f>
        <v>7</v>
      </c>
      <c r="G12" s="12" t="n">
        <f aca="false">COUNTIFS('Unlinked Calls'!$C$2:$C$115,$A12,'Unlinked Calls'!$A$2:$A$115,"Stuck processing")</f>
        <v>0</v>
      </c>
      <c r="H12" s="12" t="n">
        <f aca="false">COUNTIFS('Unlinked Calls'!$C$2:$C$115,$A12,'Unlinked Calls'!$A$2:$A$115,"Not a screen")</f>
        <v>0</v>
      </c>
    </row>
    <row r="13" customFormat="false" ht="15" hidden="false" customHeight="false" outlineLevel="0" collapsed="false">
      <c r="A13" s="28" t="s">
        <v>157</v>
      </c>
      <c r="B13" s="29" t="n">
        <v>20</v>
      </c>
      <c r="C13" s="12" t="n">
        <f aca="false">COUNTIF('Unlinked Calls'!$C$2:$C$115,$A13)</f>
        <v>5</v>
      </c>
      <c r="D13" s="13" t="n">
        <f aca="false">IFERROR(C13/B13,0)</f>
        <v>0.25</v>
      </c>
      <c r="E13" s="12" t="n">
        <f aca="false">COUNTIFS('Unlinked Calls'!$C$2:$C$115,$A13,'Unlinked Calls'!$A$2:$A$115,"Completed but never linked")</f>
        <v>1</v>
      </c>
      <c r="F13" s="12" t="n">
        <f aca="false">COUNTIFS('Unlinked Calls'!$C$2:$C$115,$A13,'Unlinked Calls'!$A$2:$A$115,"No audio captured")</f>
        <v>4</v>
      </c>
      <c r="G13" s="12" t="n">
        <f aca="false">COUNTIFS('Unlinked Calls'!$C$2:$C$115,$A13,'Unlinked Calls'!$A$2:$A$115,"Stuck processing")</f>
        <v>0</v>
      </c>
      <c r="H13" s="12" t="n">
        <f aca="false">COUNTIFS('Unlinked Calls'!$C$2:$C$115,$A13,'Unlinked Calls'!$A$2:$A$115,"Not a screen")</f>
        <v>0</v>
      </c>
    </row>
    <row r="14" customFormat="false" ht="15" hidden="false" customHeight="false" outlineLevel="0" collapsed="false">
      <c r="A14" s="28" t="s">
        <v>264</v>
      </c>
      <c r="B14" s="29" t="n">
        <v>19</v>
      </c>
      <c r="C14" s="12" t="n">
        <f aca="false">COUNTIF('Unlinked Calls'!$C$2:$C$115,$A14)</f>
        <v>7</v>
      </c>
      <c r="D14" s="13" t="n">
        <f aca="false">IFERROR(C14/B14,0)</f>
        <v>0.368421052631579</v>
      </c>
      <c r="E14" s="12" t="n">
        <f aca="false">COUNTIFS('Unlinked Calls'!$C$2:$C$115,$A14,'Unlinked Calls'!$A$2:$A$115,"Completed but never linked")</f>
        <v>4</v>
      </c>
      <c r="F14" s="12" t="n">
        <f aca="false">COUNTIFS('Unlinked Calls'!$C$2:$C$115,$A14,'Unlinked Calls'!$A$2:$A$115,"No audio captured")</f>
        <v>1</v>
      </c>
      <c r="G14" s="12" t="n">
        <f aca="false">COUNTIFS('Unlinked Calls'!$C$2:$C$115,$A14,'Unlinked Calls'!$A$2:$A$115,"Stuck processing")</f>
        <v>1</v>
      </c>
      <c r="H14" s="12" t="n">
        <f aca="false">COUNTIFS('Unlinked Calls'!$C$2:$C$115,$A14,'Unlinked Calls'!$A$2:$A$115,"Not a screen")</f>
        <v>1</v>
      </c>
    </row>
    <row r="15" customFormat="false" ht="15" hidden="false" customHeight="false" outlineLevel="0" collapsed="false">
      <c r="A15" s="28" t="s">
        <v>123</v>
      </c>
      <c r="B15" s="29" t="n">
        <v>19</v>
      </c>
      <c r="C15" s="12" t="n">
        <f aca="false">COUNTIF('Unlinked Calls'!$C$2:$C$115,$A15)</f>
        <v>5</v>
      </c>
      <c r="D15" s="13" t="n">
        <f aca="false">IFERROR(C15/B15,0)</f>
        <v>0.263157894736842</v>
      </c>
      <c r="E15" s="12" t="n">
        <f aca="false">COUNTIFS('Unlinked Calls'!$C$2:$C$115,$A15,'Unlinked Calls'!$A$2:$A$115,"Completed but never linked")</f>
        <v>3</v>
      </c>
      <c r="F15" s="12" t="n">
        <f aca="false">COUNTIFS('Unlinked Calls'!$C$2:$C$115,$A15,'Unlinked Calls'!$A$2:$A$115,"No audio captured")</f>
        <v>2</v>
      </c>
      <c r="G15" s="12" t="n">
        <f aca="false">COUNTIFS('Unlinked Calls'!$C$2:$C$115,$A15,'Unlinked Calls'!$A$2:$A$115,"Stuck processing")</f>
        <v>0</v>
      </c>
      <c r="H15" s="12" t="n">
        <f aca="false">COUNTIFS('Unlinked Calls'!$C$2:$C$115,$A15,'Unlinked Calls'!$A$2:$A$115,"Not a screen")</f>
        <v>0</v>
      </c>
    </row>
    <row r="16" customFormat="false" ht="15" hidden="false" customHeight="false" outlineLevel="0" collapsed="false">
      <c r="A16" s="28" t="s">
        <v>302</v>
      </c>
      <c r="B16" s="29" t="n">
        <v>17</v>
      </c>
      <c r="C16" s="12" t="n">
        <f aca="false">COUNTIF('Unlinked Calls'!$C$2:$C$115,$A16)</f>
        <v>2</v>
      </c>
      <c r="D16" s="13" t="n">
        <f aca="false">IFERROR(C16/B16,0)</f>
        <v>0.117647058823529</v>
      </c>
      <c r="E16" s="12" t="n">
        <f aca="false">COUNTIFS('Unlinked Calls'!$C$2:$C$115,$A16,'Unlinked Calls'!$A$2:$A$115,"Completed but never linked")</f>
        <v>0</v>
      </c>
      <c r="F16" s="12" t="n">
        <f aca="false">COUNTIFS('Unlinked Calls'!$C$2:$C$115,$A16,'Unlinked Calls'!$A$2:$A$115,"No audio captured")</f>
        <v>1</v>
      </c>
      <c r="G16" s="12" t="n">
        <f aca="false">COUNTIFS('Unlinked Calls'!$C$2:$C$115,$A16,'Unlinked Calls'!$A$2:$A$115,"Stuck processing")</f>
        <v>0</v>
      </c>
      <c r="H16" s="12" t="n">
        <f aca="false">COUNTIFS('Unlinked Calls'!$C$2:$C$115,$A16,'Unlinked Calls'!$A$2:$A$115,"Not a screen")</f>
        <v>1</v>
      </c>
    </row>
    <row r="17" customFormat="false" ht="15" hidden="false" customHeight="false" outlineLevel="0" collapsed="false">
      <c r="A17" s="28" t="s">
        <v>241</v>
      </c>
      <c r="B17" s="29" t="n">
        <v>11</v>
      </c>
      <c r="C17" s="12" t="n">
        <f aca="false">COUNTIF('Unlinked Calls'!$C$2:$C$115,$A17)</f>
        <v>2</v>
      </c>
      <c r="D17" s="13" t="n">
        <f aca="false">IFERROR(C17/B17,0)</f>
        <v>0.181818181818182</v>
      </c>
      <c r="E17" s="12" t="n">
        <f aca="false">COUNTIFS('Unlinked Calls'!$C$2:$C$115,$A17,'Unlinked Calls'!$A$2:$A$115,"Completed but never linked")</f>
        <v>2</v>
      </c>
      <c r="F17" s="12" t="n">
        <f aca="false">COUNTIFS('Unlinked Calls'!$C$2:$C$115,$A17,'Unlinked Calls'!$A$2:$A$115,"No audio captured")</f>
        <v>0</v>
      </c>
      <c r="G17" s="12" t="n">
        <f aca="false">COUNTIFS('Unlinked Calls'!$C$2:$C$115,$A17,'Unlinked Calls'!$A$2:$A$115,"Stuck processing")</f>
        <v>0</v>
      </c>
      <c r="H17" s="12" t="n">
        <f aca="false">COUNTIFS('Unlinked Calls'!$C$2:$C$115,$A17,'Unlinked Calls'!$A$2:$A$115,"Not a screen")</f>
        <v>0</v>
      </c>
    </row>
    <row r="18" customFormat="false" ht="15" hidden="false" customHeight="false" outlineLevel="0" collapsed="false">
      <c r="A18" s="28" t="s">
        <v>224</v>
      </c>
      <c r="B18" s="29" t="n">
        <v>9</v>
      </c>
      <c r="C18" s="12" t="n">
        <f aca="false">COUNTIF('Unlinked Calls'!$C$2:$C$115,$A18)</f>
        <v>9</v>
      </c>
      <c r="D18" s="13" t="n">
        <f aca="false">IFERROR(C18/B18,0)</f>
        <v>1</v>
      </c>
      <c r="E18" s="12" t="n">
        <f aca="false">COUNTIFS('Unlinked Calls'!$C$2:$C$115,$A18,'Unlinked Calls'!$A$2:$A$115,"Completed but never linked")</f>
        <v>1</v>
      </c>
      <c r="F18" s="12" t="n">
        <f aca="false">COUNTIFS('Unlinked Calls'!$C$2:$C$115,$A18,'Unlinked Calls'!$A$2:$A$115,"No audio captured")</f>
        <v>4</v>
      </c>
      <c r="G18" s="12" t="n">
        <f aca="false">COUNTIFS('Unlinked Calls'!$C$2:$C$115,$A18,'Unlinked Calls'!$A$2:$A$115,"Stuck processing")</f>
        <v>4</v>
      </c>
      <c r="H18" s="12" t="n">
        <f aca="false">COUNTIFS('Unlinked Calls'!$C$2:$C$115,$A18,'Unlinked Calls'!$A$2:$A$115,"Not a screen")</f>
        <v>0</v>
      </c>
    </row>
    <row r="19" customFormat="false" ht="15" hidden="false" customHeight="false" outlineLevel="0" collapsed="false">
      <c r="A19" s="28" t="s">
        <v>229</v>
      </c>
      <c r="B19" s="29" t="n">
        <v>7</v>
      </c>
      <c r="C19" s="12" t="n">
        <f aca="false">COUNTIF('Unlinked Calls'!$C$2:$C$115,$A19)</f>
        <v>5</v>
      </c>
      <c r="D19" s="13" t="n">
        <f aca="false">IFERROR(C19/B19,0)</f>
        <v>0.714285714285714</v>
      </c>
      <c r="E19" s="12" t="n">
        <f aca="false">COUNTIFS('Unlinked Calls'!$C$2:$C$115,$A19,'Unlinked Calls'!$A$2:$A$115,"Completed but never linked")</f>
        <v>2</v>
      </c>
      <c r="F19" s="12" t="n">
        <f aca="false">COUNTIFS('Unlinked Calls'!$C$2:$C$115,$A19,'Unlinked Calls'!$A$2:$A$115,"No audio captured")</f>
        <v>2</v>
      </c>
      <c r="G19" s="12" t="n">
        <f aca="false">COUNTIFS('Unlinked Calls'!$C$2:$C$115,$A19,'Unlinked Calls'!$A$2:$A$115,"Stuck processing")</f>
        <v>1</v>
      </c>
      <c r="H19" s="12" t="n">
        <f aca="false">COUNTIFS('Unlinked Calls'!$C$2:$C$115,$A19,'Unlinked Calls'!$A$2:$A$115,"Not a screen")</f>
        <v>0</v>
      </c>
    </row>
    <row r="20" customFormat="false" ht="15" hidden="false" customHeight="false" outlineLevel="0" collapsed="false">
      <c r="A20" s="28" t="s">
        <v>163</v>
      </c>
      <c r="B20" s="29" t="n">
        <v>4</v>
      </c>
      <c r="C20" s="12" t="n">
        <f aca="false">COUNTIF('Unlinked Calls'!$C$2:$C$115,$A20)</f>
        <v>4</v>
      </c>
      <c r="D20" s="13" t="n">
        <f aca="false">IFERROR(C20/B20,0)</f>
        <v>1</v>
      </c>
      <c r="E20" s="12" t="n">
        <f aca="false">COUNTIFS('Unlinked Calls'!$C$2:$C$115,$A20,'Unlinked Calls'!$A$2:$A$115,"Completed but never linked")</f>
        <v>3</v>
      </c>
      <c r="F20" s="12" t="n">
        <f aca="false">COUNTIFS('Unlinked Calls'!$C$2:$C$115,$A20,'Unlinked Calls'!$A$2:$A$115,"No audio captured")</f>
        <v>1</v>
      </c>
      <c r="G20" s="12" t="n">
        <f aca="false">COUNTIFS('Unlinked Calls'!$C$2:$C$115,$A20,'Unlinked Calls'!$A$2:$A$115,"Stuck processing")</f>
        <v>0</v>
      </c>
      <c r="H20" s="12" t="n">
        <f aca="false">COUNTIFS('Unlinked Calls'!$C$2:$C$115,$A20,'Unlinked Calls'!$A$2:$A$115,"Not a screen")</f>
        <v>0</v>
      </c>
    </row>
    <row r="21" customFormat="false" ht="15" hidden="false" customHeight="false" outlineLevel="0" collapsed="false">
      <c r="A21" s="28" t="s">
        <v>423</v>
      </c>
      <c r="B21" s="29" t="n">
        <v>3</v>
      </c>
      <c r="C21" s="12" t="n">
        <f aca="false">COUNTIF('Unlinked Calls'!$C$2:$C$115,$A21)</f>
        <v>0</v>
      </c>
      <c r="D21" s="13" t="n">
        <f aca="false">IFERROR(C21/B21,0)</f>
        <v>0</v>
      </c>
      <c r="E21" s="12" t="n">
        <f aca="false">COUNTIFS('Unlinked Calls'!$C$2:$C$115,$A21,'Unlinked Calls'!$A$2:$A$115,"Completed but never linked")</f>
        <v>0</v>
      </c>
      <c r="F21" s="12" t="n">
        <f aca="false">COUNTIFS('Unlinked Calls'!$C$2:$C$115,$A21,'Unlinked Calls'!$A$2:$A$115,"No audio captured")</f>
        <v>0</v>
      </c>
      <c r="G21" s="12" t="n">
        <f aca="false">COUNTIFS('Unlinked Calls'!$C$2:$C$115,$A21,'Unlinked Calls'!$A$2:$A$115,"Stuck processing")</f>
        <v>0</v>
      </c>
      <c r="H21" s="12" t="n">
        <f aca="false">COUNTIFS('Unlinked Calls'!$C$2:$C$115,$A21,'Unlinked Calls'!$A$2:$A$115,"Not a screen")</f>
        <v>0</v>
      </c>
    </row>
    <row r="22" customFormat="false" ht="15" hidden="false" customHeight="false" outlineLevel="0" collapsed="false">
      <c r="A22" s="28" t="s">
        <v>149</v>
      </c>
      <c r="B22" s="29" t="n">
        <v>3</v>
      </c>
      <c r="C22" s="12" t="n">
        <f aca="false">COUNTIF('Unlinked Calls'!$C$2:$C$115,$A22)</f>
        <v>2</v>
      </c>
      <c r="D22" s="13" t="n">
        <f aca="false">IFERROR(C22/B22,0)</f>
        <v>0.666666666666667</v>
      </c>
      <c r="E22" s="12" t="n">
        <f aca="false">COUNTIFS('Unlinked Calls'!$C$2:$C$115,$A22,'Unlinked Calls'!$A$2:$A$115,"Completed but never linked")</f>
        <v>1</v>
      </c>
      <c r="F22" s="12" t="n">
        <f aca="false">COUNTIFS('Unlinked Calls'!$C$2:$C$115,$A22,'Unlinked Calls'!$A$2:$A$115,"No audio captured")</f>
        <v>0</v>
      </c>
      <c r="G22" s="12" t="n">
        <f aca="false">COUNTIFS('Unlinked Calls'!$C$2:$C$115,$A22,'Unlinked Calls'!$A$2:$A$115,"Stuck processing")</f>
        <v>0</v>
      </c>
      <c r="H22" s="12" t="n">
        <f aca="false">COUNTIFS('Unlinked Calls'!$C$2:$C$115,$A22,'Unlinked Calls'!$A$2:$A$115,"Not a screen")</f>
        <v>1</v>
      </c>
    </row>
    <row r="23" customFormat="false" ht="15" hidden="false" customHeight="false" outlineLevel="0" collapsed="false">
      <c r="A23" s="28" t="s">
        <v>237</v>
      </c>
      <c r="B23" s="29" t="n">
        <v>3</v>
      </c>
      <c r="C23" s="12" t="n">
        <f aca="false">COUNTIF('Unlinked Calls'!$C$2:$C$115,$A23)</f>
        <v>3</v>
      </c>
      <c r="D23" s="13" t="n">
        <f aca="false">IFERROR(C23/B23,0)</f>
        <v>1</v>
      </c>
      <c r="E23" s="12" t="n">
        <f aca="false">COUNTIFS('Unlinked Calls'!$C$2:$C$115,$A23,'Unlinked Calls'!$A$2:$A$115,"Completed but never linked")</f>
        <v>2</v>
      </c>
      <c r="F23" s="12" t="n">
        <f aca="false">COUNTIFS('Unlinked Calls'!$C$2:$C$115,$A23,'Unlinked Calls'!$A$2:$A$115,"No audio captured")</f>
        <v>1</v>
      </c>
      <c r="G23" s="12" t="n">
        <f aca="false">COUNTIFS('Unlinked Calls'!$C$2:$C$115,$A23,'Unlinked Calls'!$A$2:$A$115,"Stuck processing")</f>
        <v>0</v>
      </c>
      <c r="H23" s="12" t="n">
        <f aca="false">COUNTIFS('Unlinked Calls'!$C$2:$C$115,$A23,'Unlinked Calls'!$A$2:$A$115,"Not a screen")</f>
        <v>0</v>
      </c>
    </row>
    <row r="24" customFormat="false" ht="15" hidden="false" customHeight="false" outlineLevel="0" collapsed="false">
      <c r="A24" s="28" t="s">
        <v>374</v>
      </c>
      <c r="B24" s="29" t="n">
        <v>2</v>
      </c>
      <c r="C24" s="12" t="n">
        <f aca="false">COUNTIF('Unlinked Calls'!$C$2:$C$115,$A24)</f>
        <v>2</v>
      </c>
      <c r="D24" s="13" t="n">
        <f aca="false">IFERROR(C24/B24,0)</f>
        <v>1</v>
      </c>
      <c r="E24" s="12" t="n">
        <f aca="false">COUNTIFS('Unlinked Calls'!$C$2:$C$115,$A24,'Unlinked Calls'!$A$2:$A$115,"Completed but never linked")</f>
        <v>0</v>
      </c>
      <c r="F24" s="12" t="n">
        <f aca="false">COUNTIFS('Unlinked Calls'!$C$2:$C$115,$A24,'Unlinked Calls'!$A$2:$A$115,"No audio captured")</f>
        <v>0</v>
      </c>
      <c r="G24" s="12" t="n">
        <f aca="false">COUNTIFS('Unlinked Calls'!$C$2:$C$115,$A24,'Unlinked Calls'!$A$2:$A$115,"Stuck processing")</f>
        <v>0</v>
      </c>
      <c r="H24" s="12" t="n">
        <f aca="false">COUNTIFS('Unlinked Calls'!$C$2:$C$115,$A24,'Unlinked Calls'!$A$2:$A$115,"Not a screen")</f>
        <v>2</v>
      </c>
    </row>
    <row r="25" customFormat="false" ht="15" hidden="false" customHeight="false" outlineLevel="0" collapsed="false">
      <c r="A25" s="28" t="s">
        <v>356</v>
      </c>
      <c r="B25" s="29" t="n">
        <v>2</v>
      </c>
      <c r="C25" s="12" t="n">
        <f aca="false">COUNTIF('Unlinked Calls'!$C$2:$C$115,$A25)</f>
        <v>1</v>
      </c>
      <c r="D25" s="13" t="n">
        <f aca="false">IFERROR(C25/B25,0)</f>
        <v>0.5</v>
      </c>
      <c r="E25" s="12" t="n">
        <f aca="false">COUNTIFS('Unlinked Calls'!$C$2:$C$115,$A25,'Unlinked Calls'!$A$2:$A$115,"Completed but never linked")</f>
        <v>0</v>
      </c>
      <c r="F25" s="12" t="n">
        <f aca="false">COUNTIFS('Unlinked Calls'!$C$2:$C$115,$A25,'Unlinked Calls'!$A$2:$A$115,"No audio captured")</f>
        <v>1</v>
      </c>
      <c r="G25" s="12" t="n">
        <f aca="false">COUNTIFS('Unlinked Calls'!$C$2:$C$115,$A25,'Unlinked Calls'!$A$2:$A$115,"Stuck processing")</f>
        <v>0</v>
      </c>
      <c r="H25" s="12" t="n">
        <f aca="false">COUNTIFS('Unlinked Calls'!$C$2:$C$115,$A25,'Unlinked Calls'!$A$2:$A$115,"Not a screen")</f>
        <v>0</v>
      </c>
    </row>
    <row r="26" customFormat="false" ht="15" hidden="false" customHeight="false" outlineLevel="0" collapsed="false">
      <c r="A26" s="28" t="s">
        <v>353</v>
      </c>
      <c r="B26" s="29" t="n">
        <v>1</v>
      </c>
      <c r="C26" s="12" t="n">
        <f aca="false">COUNTIF('Unlinked Calls'!$C$2:$C$115,$A26)</f>
        <v>1</v>
      </c>
      <c r="D26" s="13" t="n">
        <f aca="false">IFERROR(C26/B26,0)</f>
        <v>1</v>
      </c>
      <c r="E26" s="12" t="n">
        <f aca="false">COUNTIFS('Unlinked Calls'!$C$2:$C$115,$A26,'Unlinked Calls'!$A$2:$A$115,"Completed but never linked")</f>
        <v>0</v>
      </c>
      <c r="F26" s="12" t="n">
        <f aca="false">COUNTIFS('Unlinked Calls'!$C$2:$C$115,$A26,'Unlinked Calls'!$A$2:$A$115,"No audio captured")</f>
        <v>1</v>
      </c>
      <c r="G26" s="12" t="n">
        <f aca="false">COUNTIFS('Unlinked Calls'!$C$2:$C$115,$A26,'Unlinked Calls'!$A$2:$A$115,"Stuck processing")</f>
        <v>0</v>
      </c>
      <c r="H26" s="12" t="n">
        <f aca="false">COUNTIFS('Unlinked Calls'!$C$2:$C$115,$A26,'Unlinked Calls'!$A$2:$A$115,"Not a screen")</f>
        <v>0</v>
      </c>
    </row>
    <row r="27" customFormat="false" ht="15" hidden="false" customHeight="false" outlineLevel="0" collapsed="false">
      <c r="A27" s="17" t="s">
        <v>25</v>
      </c>
      <c r="B27" s="17" t="n">
        <f aca="false">SUM(B5:B26)</f>
        <v>412</v>
      </c>
      <c r="C27" s="18" t="n">
        <f aca="false">SUM(C5:C26)</f>
        <v>114</v>
      </c>
      <c r="D27" s="19" t="n">
        <f aca="false">IFERROR(C27/B27,0)</f>
        <v>0.276699029126214</v>
      </c>
      <c r="E27" s="18" t="n">
        <f aca="false">SUM(E5:E26)</f>
        <v>55</v>
      </c>
      <c r="F27" s="18" t="n">
        <f aca="false">SUM(F5:F26)</f>
        <v>35</v>
      </c>
      <c r="G27" s="18" t="n">
        <f aca="false">SUM(G5:G26)</f>
        <v>13</v>
      </c>
      <c r="H27" s="18" t="n">
        <f aca="false">SUM(H5:H26)</f>
        <v>11</v>
      </c>
    </row>
    <row r="29" customFormat="false" ht="15" hidden="false" customHeight="false" outlineLevel="0" collapsed="false">
      <c r="A29" s="2" t="s">
        <v>424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2026-08-03T14:47:48Z</dcterms:created>
  <dc:creator>openpyxl</dc:creator>
  <dc:description/>
  <dc:language>en-US</dc:language>
  <cp:lastModifiedBy/>
  <dcterms:modified xsi:type="dcterms:W3CDTF">2026-08-03T14:47:48Z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